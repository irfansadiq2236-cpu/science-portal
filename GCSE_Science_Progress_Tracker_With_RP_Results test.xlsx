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3" activeTab="5" autoFilterDateGrouping="1"/>
  </bookViews>
  <sheets>
    <sheet xmlns:r="http://schemas.openxmlformats.org/officeDocument/2006/relationships" name="Student Tracker" sheetId="1" state="visible" r:id="rId1"/>
    <sheet xmlns:r="http://schemas.openxmlformats.org/officeDocument/2006/relationships" name="Required Practical Exam Results" sheetId="2" state="visible" r:id="rId2"/>
    <sheet xmlns:r="http://schemas.openxmlformats.org/officeDocument/2006/relationships" name="Required Practicals Tracker" sheetId="3" state="visible" r:id="rId3"/>
    <sheet xmlns:r="http://schemas.openxmlformats.org/officeDocument/2006/relationships" name="Paper &amp; Skills Diagnostic" sheetId="4" state="visible" r:id="rId4"/>
    <sheet xmlns:r="http://schemas.openxmlformats.org/officeDocument/2006/relationships" name="Grade Boundaries" sheetId="5" state="visible" r:id="rId5"/>
    <sheet xmlns:r="http://schemas.openxmlformats.org/officeDocument/2006/relationships" name="Class Register" sheetId="6" state="visible" r:id="rId6"/>
    <sheet xmlns:r="http://schemas.openxmlformats.org/officeDocument/2006/relationships" name="Saved Classes" sheetId="7" state="visible" r:id="rId7"/>
    <sheet xmlns:r="http://schemas.openxmlformats.org/officeDocument/2006/relationships" name="Student Fees" sheetId="8" state="visible" r:id="rId8"/>
    <sheet xmlns:r="http://schemas.openxmlformats.org/officeDocument/2006/relationships" name="Assessment History" sheetId="9" state="visible" r:id="rId9"/>
    <sheet xmlns:r="http://schemas.openxmlformats.org/officeDocument/2006/relationships" name="Student Profiles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4"/>
    </font>
    <font>
      <name val="Calibri"/>
      <family val="2"/>
      <b val="1"/>
      <color rgb="FFFFFFFF"/>
      <sz val="11"/>
    </font>
    <font>
      <name val="Calibri"/>
      <family val="2"/>
      <sz val="10"/>
    </font>
    <font>
      <name val="Calibri"/>
      <family val="2"/>
      <b val="1"/>
      <color rgb="FFFFFFFF"/>
      <sz val="15"/>
    </font>
    <font>
      <name val="Calibri"/>
      <family val="2"/>
      <b val="1"/>
      <color rgb="FFFFFFFF"/>
      <sz val="10"/>
    </font>
    <font>
      <name val="Calibri"/>
      <family val="2"/>
      <b val="1"/>
      <color rgb="FFFFFFFF"/>
      <sz val="9"/>
    </font>
    <font>
      <name val="Calibri"/>
      <family val="2"/>
      <sz val="9"/>
    </font>
    <font>
      <name val="Calibri"/>
      <family val="2"/>
      <b val="1"/>
      <color rgb="FF1F3864"/>
      <sz val="9"/>
    </font>
    <font>
      <name val="Calibri"/>
      <family val="2"/>
      <b val="1"/>
      <sz val="9"/>
    </font>
    <font>
      <name val="Calibri"/>
      <family val="2"/>
      <b val="1"/>
      <color rgb="FFFFFFFF"/>
      <sz val="14"/>
    </font>
    <font>
      <name val="Calibri"/>
      <family val="2"/>
      <color rgb="FF808080"/>
      <sz val="9"/>
    </font>
    <font>
      <name val="Calibri"/>
      <family val="2"/>
      <b val="1"/>
      <color rgb="FF9C0006"/>
      <sz val="9"/>
    </font>
    <font>
      <name val="Calibri"/>
      <family val="2"/>
      <b val="1"/>
      <color rgb="FFFFFFFF"/>
      <sz val="12"/>
    </font>
    <font>
      <name val="Calibri"/>
      <family val="2"/>
      <b val="1"/>
      <color rgb="FFFFFFFF"/>
      <sz val="10"/>
    </font>
    <font>
      <name val="Calibri"/>
      <family val="2"/>
      <b val="1"/>
      <color rgb="FF9C0006"/>
      <sz val="10"/>
    </font>
    <font>
      <name val="Calibri"/>
      <family val="2"/>
      <b val="1"/>
      <sz val="10"/>
    </font>
  </fonts>
  <fills count="31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1B365D"/>
        <bgColor rgb="FF1B365D"/>
      </patternFill>
    </fill>
    <fill>
      <patternFill patternType="solid">
        <fgColor rgb="FF2E75B6"/>
        <bgColor rgb="FF2E75B6"/>
      </patternFill>
    </fill>
    <fill>
      <patternFill patternType="solid">
        <fgColor rgb="FF385723"/>
        <bgColor rgb="FF385723"/>
      </patternFill>
    </fill>
    <fill>
      <patternFill patternType="solid">
        <fgColor rgb="FF833C0C"/>
        <bgColor rgb="FF833C0C"/>
      </patternFill>
    </fill>
    <fill>
      <patternFill patternType="solid">
        <fgColor rgb="FF333F48"/>
        <bgColor rgb="FF333F48"/>
      </patternFill>
    </fill>
    <fill>
      <patternFill patternType="solid">
        <fgColor rgb="FF244062"/>
        <bgColor rgb="FF244062"/>
      </patternFill>
    </fill>
    <fill>
      <patternFill patternType="solid">
        <fgColor rgb="FF366092"/>
        <bgColor rgb="FF366092"/>
      </patternFill>
    </fill>
    <fill>
      <patternFill patternType="solid">
        <fgColor rgb="FF4F6228"/>
        <bgColor rgb="FF4F6228"/>
      </patternFill>
    </fill>
    <fill>
      <patternFill patternType="solid">
        <fgColor rgb="FF984807"/>
        <bgColor rgb="FF984807"/>
      </patternFill>
    </fill>
    <fill>
      <patternFill patternType="solid">
        <fgColor rgb="FF404040"/>
        <bgColor rgb="FF404040"/>
      </patternFill>
    </fill>
    <fill>
      <patternFill patternType="solid">
        <fgColor rgb="FFF9FBFD"/>
        <bgColor rgb="FFF9FBFD"/>
      </patternFill>
    </fill>
    <fill>
      <patternFill patternType="solid">
        <fgColor rgb="FFFFFFFF"/>
        <bgColor rgb="FFFFFFFF"/>
      </patternFill>
    </fill>
    <fill>
      <patternFill patternType="solid">
        <fgColor rgb="FFD9E1F2"/>
        <bgColor rgb="FFD9E1F2"/>
      </patternFill>
    </fill>
    <fill>
      <patternFill patternType="solid">
        <fgColor rgb="FFF2F5F9"/>
        <bgColor rgb="FFF2F5F9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385723"/>
        <bgColor rgb="FF385723"/>
      </patternFill>
    </fill>
    <fill>
      <patternFill patternType="solid">
        <fgColor rgb="FF833C0C"/>
        <bgColor rgb="FF833C0C"/>
      </patternFill>
    </fill>
    <fill>
      <patternFill patternType="solid">
        <fgColor rgb="FF333F48"/>
        <bgColor rgb="FF333F48"/>
      </patternFill>
    </fill>
    <fill>
      <patternFill patternType="solid">
        <fgColor rgb="FF244062"/>
        <bgColor rgb="FF244062"/>
      </patternFill>
    </fill>
    <fill>
      <patternFill patternType="solid">
        <fgColor rgb="FF366092"/>
        <bgColor rgb="FF366092"/>
      </patternFill>
    </fill>
    <fill>
      <patternFill patternType="solid">
        <fgColor rgb="FF4F6228"/>
        <bgColor rgb="FF4F6228"/>
      </patternFill>
    </fill>
    <fill>
      <patternFill patternType="solid">
        <fgColor rgb="FF984807"/>
        <bgColor rgb="FF984807"/>
      </patternFill>
    </fill>
    <fill>
      <patternFill patternType="solid">
        <fgColor rgb="FF404040"/>
        <bgColor rgb="FF404040"/>
      </patternFill>
    </fill>
    <fill>
      <patternFill patternType="solid">
        <fgColor rgb="FFFFC7CE"/>
        <bgColor rgb="FFFFC7CE"/>
      </patternFill>
    </fill>
    <fill>
      <patternFill patternType="solid">
        <fgColor rgb="FFD9E1F2"/>
        <bgColor rgb="FFD9E1F2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1F38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6" fillId="10" borderId="2" applyAlignment="1" pivotButton="0" quotePrefix="0" xfId="0">
      <alignment horizontal="center" vertical="center" wrapText="1"/>
    </xf>
    <xf numFmtId="0" fontId="6" fillId="11" borderId="2" applyAlignment="1" pivotButton="0" quotePrefix="0" xfId="0">
      <alignment horizontal="center" vertical="center" wrapText="1"/>
    </xf>
    <xf numFmtId="0" fontId="6" fillId="12" borderId="2" applyAlignment="1" pivotButton="0" quotePrefix="0" xfId="0">
      <alignment horizontal="center" vertical="center" wrapText="1"/>
    </xf>
    <xf numFmtId="0" fontId="7" fillId="13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left" vertical="center"/>
    </xf>
    <xf numFmtId="1" fontId="7" fillId="13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horizontal="left" vertical="center"/>
    </xf>
    <xf numFmtId="1" fontId="7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7" fillId="13" borderId="1" applyAlignment="1" pivotButton="0" quotePrefix="0" xfId="0">
      <alignment horizontal="right" vertical="center"/>
    </xf>
    <xf numFmtId="165" fontId="7" fillId="13" borderId="1" applyAlignment="1" pivotButton="0" quotePrefix="0" xfId="0">
      <alignment horizontal="right" vertical="center"/>
    </xf>
    <xf numFmtId="164" fontId="7" fillId="14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164" fontId="8" fillId="15" borderId="1" applyAlignment="1" pivotButton="0" quotePrefix="0" xfId="0">
      <alignment horizontal="center" vertical="center"/>
    </xf>
    <xf numFmtId="164" fontId="9" fillId="15" borderId="0" applyAlignment="1" pivotButton="0" quotePrefix="0" xfId="0">
      <alignment horizontal="right" vertical="center"/>
    </xf>
    <xf numFmtId="165" fontId="9" fillId="15" borderId="0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/>
    </xf>
    <xf numFmtId="164" fontId="9" fillId="1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1" fillId="17" borderId="1" applyAlignment="1" pivotButton="0" quotePrefix="0" xfId="0">
      <alignment horizontal="center" vertical="center"/>
    </xf>
    <xf numFmtId="0" fontId="12" fillId="18" borderId="1" applyAlignment="1" pivotButton="0" quotePrefix="0" xfId="0">
      <alignment horizontal="center" vertical="center"/>
    </xf>
    <xf numFmtId="0" fontId="14" fillId="24" borderId="0" applyAlignment="1" pivotButton="0" quotePrefix="0" xfId="0">
      <alignment horizontal="center" vertical="center"/>
    </xf>
    <xf numFmtId="0" fontId="14" fillId="25" borderId="0" applyAlignment="1" pivotButton="0" quotePrefix="0" xfId="0">
      <alignment horizontal="center" vertical="center" wrapText="1"/>
    </xf>
    <xf numFmtId="0" fontId="14" fillId="26" borderId="0" applyAlignment="1" pivotButton="0" quotePrefix="0" xfId="0">
      <alignment horizontal="center" vertical="center" wrapText="1"/>
    </xf>
    <xf numFmtId="0" fontId="14" fillId="27" borderId="0" applyAlignment="1" pivotButton="0" quotePrefix="0" xfId="0">
      <alignment horizontal="center" vertical="center" wrapText="1"/>
    </xf>
    <xf numFmtId="0" fontId="14" fillId="28" borderId="0" applyAlignment="1" pivotButton="0" quotePrefix="0" xfId="0">
      <alignment horizontal="center" vertical="center" wrapText="1"/>
    </xf>
    <xf numFmtId="0" fontId="15" fillId="29" borderId="0" pivotButton="0" quotePrefix="0" xfId="0"/>
    <xf numFmtId="164" fontId="16" fillId="0" borderId="3" applyAlignment="1" pivotButton="0" quotePrefix="0" xfId="0">
      <alignment horizontal="center" vertical="center"/>
    </xf>
    <xf numFmtId="164" fontId="16" fillId="30" borderId="3" applyAlignment="1" pivotButton="0" quotePrefix="0" xfId="0">
      <alignment horizontal="center" vertical="center"/>
    </xf>
    <xf numFmtId="165" fontId="16" fillId="3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 vertical="center"/>
    </xf>
    <xf numFmtId="0" fontId="7" fillId="13" borderId="0" applyAlignment="1" pivotButton="0" quotePrefix="0" xfId="0">
      <alignment horizontal="center" vertical="center"/>
    </xf>
    <xf numFmtId="164" fontId="7" fillId="13" borderId="0" applyAlignment="1" pivotButton="0" quotePrefix="0" xfId="0">
      <alignment horizontal="right" vertical="center"/>
    </xf>
    <xf numFmtId="165" fontId="7" fillId="13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 vertical="center"/>
    </xf>
    <xf numFmtId="0" fontId="7" fillId="13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right" vertical="center"/>
    </xf>
    <xf numFmtId="0" fontId="14" fillId="22" borderId="0" applyAlignment="1" pivotButton="0" quotePrefix="0" xfId="0">
      <alignment horizontal="center" vertical="center"/>
    </xf>
    <xf numFmtId="0" fontId="13" fillId="19" borderId="0" applyAlignment="1" pivotButton="0" quotePrefix="0" xfId="0">
      <alignment horizontal="left" vertical="center" indent="1"/>
    </xf>
    <xf numFmtId="0" fontId="14" fillId="20" borderId="0" applyAlignment="1" pivotButton="0" quotePrefix="0" xfId="0">
      <alignment horizontal="center" vertical="center"/>
    </xf>
    <xf numFmtId="0" fontId="14" fillId="19" borderId="0" applyAlignment="1" pivotButton="0" quotePrefix="0" xfId="0">
      <alignment horizontal="center" vertical="center"/>
    </xf>
    <xf numFmtId="0" fontId="14" fillId="23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center"/>
    </xf>
    <xf numFmtId="0" fontId="10" fillId="2" borderId="0" applyAlignment="1" pivotButton="0" quotePrefix="0" xfId="0">
      <alignment horizontal="center" vertical="center"/>
    </xf>
  </cellXfs>
  <cellStyles count="1">
    <cellStyle name="Normal" xfId="0" builtinId="0"/>
  </cellStyles>
  <dxfs count="12"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6500"/>
      </font>
      <fill>
        <patternFill patternType="solid">
          <fgColor rgb="FFFFEB9C"/>
          <bgColor rgb="FFFFEB9C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9C6500"/>
      </font>
      <fill>
        <patternFill patternType="solid">
          <fgColor rgb="FFFFEB9C"/>
          <bgColor rgb="FFFFEB9C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Science Department Tracker</author>
  </authors>
  <commentList>
    <comment ref="AO5" authorId="0" shapeId="0">
      <text>
        <t>Student: Zayan Ahmed
Outstanding Practicals (8):
• [Paper 2] Bio RP9: Field Investigations
• [Paper 2] Chem RP5: Rates of Reaction
• [Paper 2] Chem RP6: Chromatography
• [Paper 2] Chem RP8: Water Purification
• [Paper 2] Phys RP6: Force and Extension
• [Paper 2] Phys RP7: Acceleration
• [Paper 2] Phys RP8: Waves
• [Paper 2] Phys RP10: Radiation &amp; Absorption
(Click to jump to 'Required Practicals Tracker')</t>
      </text>
    </comment>
    <comment ref="AO6" authorId="0" shapeId="0">
      <text>
        <t>Student: Sara Khan
Outstanding Practicals (1):
• [Paper 2] Phys RP9: Light (Reflection/Refraction)
(Click to jump to 'Required Practicals Tracker')</t>
      </text>
    </comment>
    <comment ref="AO7" authorId="0" shapeId="0">
      <text>
        <t>Student: Marcus Taylor
Outstanding Practicals (10):
• [Paper 1] Bio RP3: Osmosis
• [Paper 2] Bio RP7: Reaction Time
• [Paper 2] Bio RP9: Field Investigations
• [Paper 2] Chem RP5: Rates of Reaction
• [Paper 2] Chem RP6: Chromatography
• [Paper 2] Chem RP8: Water Purification
• [Paper 2] Phys RP6: Force and Extension
• [Paper 2] Phys RP7: Acceleration
• [Paper 2] Phys RP8: Waves
• [Paper 2] Phys RP10: Radiation &amp; Absorption
(Click to jump to 'Required Practicals Tracker')</t>
      </text>
    </comment>
    <comment ref="AO8" authorId="0" shapeId="0">
      <text>
        <t>Student: Aaliyah Patel
Outstanding Practicals (9):
• [Paper 2] Bio RP7: Reaction Time
• [Paper 2] Bio RP9: Field Investigations
• [Paper 2] Chem RP5: Rates of Reaction
• [Paper 2] Chem RP6: Chromatography
• [Paper 2] Chem RP8: Water Purification
• [Paper 2] Phys RP6: Force and Extension
• [Paper 2] Phys RP7: Acceleration
• [Paper 2] Phys RP8: Waves
• [Paper 2] Phys RP10: Radiation &amp; Absorption
(Click to jump to 'Required Practicals Tracker')</t>
      </text>
    </comment>
    <comment ref="AO9" authorId="0" shapeId="0">
      <text>
        <t>Student: Callum Wright
Outstanding Practicals (11):
• [Paper 2] Bio RP8: Plant Responses
• [Paper 2] Bio RP9: Field Investigations
• [Paper 2] Bio RP10: Decay
• [Paper 2] Chem RP5: Rates of Reaction
• [Paper 2] Chem RP6: Chromatography
• [Paper 2] Chem RP7: Identifying Ions
• [Paper 2] Chem RP8: Water Purification
• [Paper 2] Phys RP7: Acceleration
• [Paper 2] Phys RP8: Waves
• [Paper 2] Phys RP9: Light (Reflection/Refraction)
• [Paper 2] Phys RP10: Radiation &amp; Absorption
(Click to jump to 'Required Practicals Tracker')</t>
      </text>
    </comment>
    <comment ref="AO10" authorId="0" shapeId="0">
      <text>
        <t>Student: Elena Popa
Outstanding Practicals (8):
• [Paper 2] Bio RP9: Field Investigations
• [Paper 2] Chem RP5: Rates of Reaction
• [Paper 2] Chem RP6: Chromatography
• [Paper 2] Chem RP8: Water Purification
• [Paper 2] Phys RP6: Force and Extension
• [Paper 2] Phys RP7: Acceleration
• [Paper 2] Phys RP8: Waves
• [Paper 2] Phys RP10: Radiation &amp; Absorption
(Click to jump to 'Required Practicals Tracker')</t>
      </text>
    </comment>
    <comment ref="AO12" authorId="0" shapeId="0">
      <text>
        <t>Student: Devon Brooks
Outstanding Practicals (10):
• [Paper 1] Bio RP3: Osmosis
• [Paper 2] Bio RP7: Reaction Time
• [Paper 2] Bio RP9: Field Investigations
• [Paper 2] Chem RP5: Rates of Reaction
• [Paper 2] Chem RP6: Chromatography
• [Paper 2] Chem RP8: Water Purification
• [Paper 2] Phys RP6: Force and Extension
• [Paper 2] Phys RP7: Acceleration
• [Paper 2] Phys RP8: Waves
• [Paper 2] Phys RP10: Radiation &amp; Absorption
(Click to jump to 'Required Practicals Tracker')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P17"/>
  <sheetViews>
    <sheetView workbookViewId="0">
      <pane xSplit="9" ySplit="4" topLeftCell="J10" activePane="bottomRight" state="frozen"/>
      <selection pane="topRight" activeCell="A1" sqref="A1"/>
      <selection pane="bottomLeft" activeCell="A1" sqref="A1"/>
      <selection pane="bottomRight" activeCell="A16" sqref="A16:XFD17"/>
    </sheetView>
  </sheetViews>
  <sheetFormatPr baseColWidth="8" defaultRowHeight="14.5"/>
  <cols>
    <col width="12" customWidth="1" style="52" min="1" max="1"/>
    <col width="18" customWidth="1" style="52" min="2" max="2"/>
    <col width="7" customWidth="1" style="52" min="3" max="4"/>
    <col width="12" customWidth="1" style="52" min="5" max="5"/>
    <col width="18" customWidth="1" style="52" min="6" max="6"/>
    <col width="12" customWidth="1" style="52" min="7" max="7"/>
    <col width="9.90625" customWidth="1" style="52" min="8" max="11"/>
    <col width="11" customWidth="1" style="52" min="12" max="13"/>
    <col width="9.90625" customWidth="1" style="52" min="14" max="18"/>
    <col width="12" customWidth="1" style="52" min="19" max="20"/>
    <col width="9.90625" customWidth="1" style="52" min="21" max="25"/>
    <col width="11" customWidth="1" style="52" min="26" max="26"/>
    <col width="9.90625" customWidth="1" style="52" min="27" max="33"/>
    <col width="12" customWidth="1" style="52" min="34" max="34"/>
    <col width="14" customWidth="1" style="52" min="35" max="35"/>
    <col width="9.90625" customWidth="1" style="52" min="36" max="36"/>
    <col width="14" customWidth="1" style="52" min="37" max="37"/>
    <col width="16" customWidth="1" style="52" min="38" max="38"/>
    <col width="26" customWidth="1" style="52" min="39" max="39"/>
    <col width="34" customWidth="1" style="52" min="40" max="40"/>
    <col width="16" customWidth="1" style="52" min="41" max="41"/>
    <col width="23.90625" customWidth="1" style="52" min="42" max="42"/>
  </cols>
  <sheetData>
    <row r="1" ht="36" customHeight="1" s="52">
      <c r="A1" s="54" t="inlineStr">
        <is>
          <t>GCSE SCIENCE COMPREHENSIVE STUDENT PROGRESS &amp; TOPIC TRACKER</t>
        </is>
      </c>
    </row>
    <row r="3" ht="24" customHeight="1" s="52">
      <c r="A3" s="57" t="inlineStr">
        <is>
          <t>STUDENT DEMOGRAPHICS &amp; PROFILE</t>
        </is>
      </c>
      <c r="J3" s="56" t="inlineStr">
        <is>
          <t>BIOLOGY TOPIC ASSESSMENTS (/35)</t>
        </is>
      </c>
      <c r="Q3" s="58" t="inlineStr">
        <is>
          <t>CHEMISTRY TOPIC ASSESSMENTS (/35)</t>
        </is>
      </c>
      <c r="AA3" s="55" t="inlineStr">
        <is>
          <t>PHYSICS TOPIC ASSESSMENTS (/35)</t>
        </is>
      </c>
      <c r="AI3" s="53" t="inlineStr">
        <is>
          <t>PERFORMANCE METRICS &amp; INTERVENTION TRACKING</t>
        </is>
      </c>
    </row>
    <row r="4" ht="28" customHeight="1" s="52">
      <c r="A4" s="2" t="inlineStr">
        <is>
          <t>Student ID</t>
        </is>
      </c>
      <c r="B4" s="2" t="inlineStr">
        <is>
          <t>Student Name</t>
        </is>
      </c>
      <c r="C4" s="2" t="inlineStr">
        <is>
          <t>Year</t>
        </is>
      </c>
      <c r="D4" s="2" t="inlineStr">
        <is>
          <t>Age</t>
        </is>
      </c>
      <c r="E4" s="2" t="inlineStr">
        <is>
          <t>Exam Board</t>
        </is>
      </c>
      <c r="F4" s="2" t="inlineStr">
        <is>
          <t>Study Programme</t>
        </is>
      </c>
      <c r="G4" s="2" t="inlineStr">
        <is>
          <t>Tier (H/F)</t>
        </is>
      </c>
      <c r="H4" s="2" t="inlineStr">
        <is>
          <t>Baseline Grade</t>
        </is>
      </c>
      <c r="I4" s="2" t="inlineStr">
        <is>
          <t>Predicted Grade</t>
        </is>
      </c>
      <c r="J4" s="3" t="inlineStr">
        <is>
          <t>B1: Cells</t>
        </is>
      </c>
      <c r="K4" s="3" t="inlineStr">
        <is>
          <t>B2: Organs</t>
        </is>
      </c>
      <c r="L4" s="3" t="inlineStr">
        <is>
          <t>B3: Infection</t>
        </is>
      </c>
      <c r="M4" s="3" t="inlineStr">
        <is>
          <t>B4: Bioenerg</t>
        </is>
      </c>
      <c r="N4" s="3" t="inlineStr">
        <is>
          <t>B5: Homeo</t>
        </is>
      </c>
      <c r="O4" s="3" t="inlineStr">
        <is>
          <t>B6: Inherit</t>
        </is>
      </c>
      <c r="P4" s="3" t="inlineStr">
        <is>
          <t>B7: Ecology</t>
        </is>
      </c>
      <c r="Q4" s="4" t="inlineStr">
        <is>
          <t>C1: Atoms</t>
        </is>
      </c>
      <c r="R4" s="4" t="inlineStr">
        <is>
          <t>C2: Bonding</t>
        </is>
      </c>
      <c r="S4" s="4" t="inlineStr">
        <is>
          <t>C3: Quant Chem</t>
        </is>
      </c>
      <c r="T4" s="4" t="inlineStr">
        <is>
          <t>C4: Chem Change</t>
        </is>
      </c>
      <c r="U4" s="4" t="inlineStr">
        <is>
          <t>C5: Energy</t>
        </is>
      </c>
      <c r="V4" s="4" t="inlineStr">
        <is>
          <t>C6: Rates</t>
        </is>
      </c>
      <c r="W4" s="4" t="inlineStr">
        <is>
          <t>C7: Organic</t>
        </is>
      </c>
      <c r="X4" s="4" t="inlineStr">
        <is>
          <t>C8: Analysis</t>
        </is>
      </c>
      <c r="Y4" s="4" t="inlineStr">
        <is>
          <t>C9: Atmos</t>
        </is>
      </c>
      <c r="Z4" s="4" t="inlineStr">
        <is>
          <t>C10: Resources</t>
        </is>
      </c>
      <c r="AA4" s="5" t="inlineStr">
        <is>
          <t>P1: Energy</t>
        </is>
      </c>
      <c r="AB4" s="5" t="inlineStr">
        <is>
          <t>P2: Electric</t>
        </is>
      </c>
      <c r="AC4" s="5" t="inlineStr">
        <is>
          <t>P3: Particle</t>
        </is>
      </c>
      <c r="AD4" s="5" t="inlineStr">
        <is>
          <t>P4: Atomic</t>
        </is>
      </c>
      <c r="AE4" s="5" t="inlineStr">
        <is>
          <t>P5: Forces</t>
        </is>
      </c>
      <c r="AF4" s="5" t="inlineStr">
        <is>
          <t>P6: Waves</t>
        </is>
      </c>
      <c r="AG4" s="5" t="inlineStr">
        <is>
          <t>P7: Magnet</t>
        </is>
      </c>
      <c r="AH4" s="5" t="inlineStr">
        <is>
          <t>P8: Space*</t>
        </is>
      </c>
      <c r="AI4" s="6" t="inlineStr">
        <is>
          <t>Avg Mark (/35)</t>
        </is>
      </c>
      <c r="AJ4" s="6" t="inlineStr">
        <is>
          <t>Avg %</t>
        </is>
      </c>
      <c r="AK4" s="6" t="inlineStr">
        <is>
          <t>Projected Grade</t>
        </is>
      </c>
      <c r="AL4" s="6" t="inlineStr">
        <is>
          <t>Progress vs Baseline</t>
        </is>
      </c>
      <c r="AM4" s="6" t="inlineStr">
        <is>
          <t>Intervention Flag</t>
        </is>
      </c>
      <c r="AN4" s="6" t="inlineStr">
        <is>
          <t>Focus / Action Priority</t>
        </is>
      </c>
      <c r="AO4" s="6" t="inlineStr">
        <is>
          <t>Outstanding Practicals</t>
        </is>
      </c>
      <c r="AP4" s="6" t="inlineStr">
        <is>
          <t>Practical Compliance Flag</t>
        </is>
      </c>
    </row>
    <row r="5" ht="20.15" customHeight="1" s="52">
      <c r="A5" s="7" t="inlineStr">
        <is>
          <t>SCI-101</t>
        </is>
      </c>
      <c r="B5" s="8" t="inlineStr">
        <is>
          <t>Zayan Ahmed</t>
        </is>
      </c>
      <c r="C5" s="7" t="n">
        <v>11</v>
      </c>
      <c r="D5" s="7" t="n">
        <v>15</v>
      </c>
      <c r="E5" s="8" t="inlineStr">
        <is>
          <t>AQA</t>
        </is>
      </c>
      <c r="F5" s="8" t="inlineStr">
        <is>
          <t>Combined Science</t>
        </is>
      </c>
      <c r="G5" s="7" t="inlineStr">
        <is>
          <t>Higher (H)</t>
        </is>
      </c>
      <c r="H5" s="7" t="n">
        <v>6</v>
      </c>
      <c r="I5" s="7" t="n">
        <v>7</v>
      </c>
      <c r="J5" s="9" t="n">
        <v>25</v>
      </c>
      <c r="K5" s="9" t="n">
        <v>24</v>
      </c>
      <c r="L5" s="9" t="n">
        <v>26</v>
      </c>
      <c r="M5" s="9" t="n">
        <v>22</v>
      </c>
      <c r="N5" s="9" t="n">
        <v>27</v>
      </c>
      <c r="O5" s="9" t="n">
        <v>24</v>
      </c>
      <c r="P5" s="9" t="n">
        <v>25</v>
      </c>
      <c r="Q5" s="9" t="n">
        <v>23</v>
      </c>
      <c r="R5" s="9" t="n">
        <v>26</v>
      </c>
      <c r="S5" s="9" t="n">
        <v>21</v>
      </c>
      <c r="T5" s="9" t="n">
        <v>24</v>
      </c>
      <c r="U5" s="9" t="n">
        <v>22</v>
      </c>
      <c r="V5" s="9" t="n">
        <v>25</v>
      </c>
      <c r="W5" s="9" t="n">
        <v>23</v>
      </c>
      <c r="X5" s="9" t="n">
        <v>24</v>
      </c>
      <c r="Y5" s="9" t="n">
        <v>25</v>
      </c>
      <c r="Z5" s="9" t="n">
        <v>26</v>
      </c>
      <c r="AA5" s="9" t="n">
        <v>24</v>
      </c>
      <c r="AB5" s="9" t="n">
        <v>23</v>
      </c>
      <c r="AC5" s="9" t="n">
        <v>25</v>
      </c>
      <c r="AD5" s="9" t="n">
        <v>26</v>
      </c>
      <c r="AE5" s="9" t="n">
        <v>23</v>
      </c>
      <c r="AF5" s="9" t="n">
        <v>22</v>
      </c>
      <c r="AG5" s="7" t="n"/>
      <c r="AH5" s="7" t="n"/>
      <c r="AI5" s="17">
        <f>AVERAGE(J5:AH5)</f>
        <v/>
      </c>
      <c r="AJ5" s="18">
        <f>AI5/35</f>
        <v/>
      </c>
      <c r="AK5" s="7">
        <f>IF(ISNUMBER(SEARCH("Higher", G5)), IF(AJ5&gt;=0.77, 9, IF(AJ5&gt;=0.66, 8, IF(AJ5&gt;=0.57, 7, IF(AJ5&gt;=0.46, 6, IF(AJ5&gt;=0.37, 5, IF(AJ5&gt;=0.29, 4, IF(AJ5&gt;=0.2, 3, "U"))))))), IF(AJ5&gt;=0.63, 5, IF(AJ5&gt;=0.51, 4, IF(AJ5&gt;=0.4, 3, IF(AJ5&gt;=0.28, 2, IF(AJ5&gt;=0.18, 1, "U"))))))</f>
        <v/>
      </c>
      <c r="AL5" s="7">
        <f>IF(ISNUMBER(AK5), AK5-H5, "N/A")</f>
        <v/>
      </c>
      <c r="AM5" s="8">
        <f>IF(AK5&gt;=I5, "On Track / Target Met", IF(AK5=I5-1, "At Risk (1 Grade Below)", "URGENT INTERVENTION (2+ Grades Below)"))</f>
        <v/>
      </c>
      <c r="AN5" s="8" t="inlineStr">
        <is>
          <t>Quantitative Chemistry &amp; Moles</t>
        </is>
      </c>
      <c r="AO5" s="32">
        <f>'Required Practicals Tracker'!H32</f>
        <v/>
      </c>
      <c r="AP5" s="32">
        <f>IF(AO5=0, "Fully Compliant (100%)", IF(AO5&lt;=3, "ACTION REQUIRED (" &amp; AO5 &amp; " Pending)", "CRITICAL DEFICIT (" &amp; AO5 &amp; " Pending)"))</f>
        <v/>
      </c>
    </row>
    <row r="6" ht="20.15" customHeight="1" s="52">
      <c r="A6" s="10" t="inlineStr">
        <is>
          <t>SCI-102</t>
        </is>
      </c>
      <c r="B6" s="11" t="inlineStr">
        <is>
          <t>Sara Khan</t>
        </is>
      </c>
      <c r="C6" s="10" t="n">
        <v>11</v>
      </c>
      <c r="D6" s="10" t="n">
        <v>16</v>
      </c>
      <c r="E6" s="11" t="inlineStr">
        <is>
          <t>AQA</t>
        </is>
      </c>
      <c r="F6" s="11" t="inlineStr">
        <is>
          <t>Triple Science</t>
        </is>
      </c>
      <c r="G6" s="10" t="inlineStr">
        <is>
          <t>Higher (H)</t>
        </is>
      </c>
      <c r="H6" s="10" t="n">
        <v>7</v>
      </c>
      <c r="I6" s="10" t="n">
        <v>8</v>
      </c>
      <c r="J6" s="12" t="n">
        <v>29</v>
      </c>
      <c r="K6" s="12" t="n">
        <v>28</v>
      </c>
      <c r="L6" s="12" t="n">
        <v>30</v>
      </c>
      <c r="M6" s="12" t="n">
        <v>27</v>
      </c>
      <c r="N6" s="12" t="n">
        <v>29</v>
      </c>
      <c r="O6" s="12" t="n">
        <v>28</v>
      </c>
      <c r="P6" s="12" t="n">
        <v>31</v>
      </c>
      <c r="Q6" s="12" t="n">
        <v>27</v>
      </c>
      <c r="R6" s="12" t="n">
        <v>28</v>
      </c>
      <c r="S6" s="12" t="n">
        <v>26</v>
      </c>
      <c r="T6" s="12" t="n">
        <v>28</v>
      </c>
      <c r="U6" s="12" t="n">
        <v>27</v>
      </c>
      <c r="V6" s="12" t="n">
        <v>29</v>
      </c>
      <c r="W6" s="12" t="n">
        <v>27</v>
      </c>
      <c r="X6" s="12" t="n">
        <v>28</v>
      </c>
      <c r="Y6" s="12" t="n">
        <v>29</v>
      </c>
      <c r="Z6" s="12" t="n">
        <v>30</v>
      </c>
      <c r="AA6" s="12" t="n">
        <v>28</v>
      </c>
      <c r="AB6" s="12" t="n">
        <v>27</v>
      </c>
      <c r="AC6" s="12" t="n">
        <v>29</v>
      </c>
      <c r="AD6" s="12" t="n">
        <v>30</v>
      </c>
      <c r="AE6" s="12" t="n">
        <v>27</v>
      </c>
      <c r="AF6" s="12" t="n">
        <v>26</v>
      </c>
      <c r="AG6" s="12" t="n">
        <v>29</v>
      </c>
      <c r="AH6" s="10" t="n"/>
      <c r="AI6" s="19">
        <f>AVERAGE(J6:AH6)</f>
        <v/>
      </c>
      <c r="AJ6" s="20">
        <f>AI6/35</f>
        <v/>
      </c>
      <c r="AK6" s="7">
        <f>IF(ISNUMBER(SEARCH("Higher", G6)), IF(AJ6&gt;=0.77, 9, IF(AJ6&gt;=0.66, 8, IF(AJ6&gt;=0.57, 7, IF(AJ6&gt;=0.46, 6, IF(AJ6&gt;=0.37, 5, IF(AJ6&gt;=0.29, 4, IF(AJ6&gt;=0.2, 3, "U"))))))), IF(AJ6&gt;=0.63, 5, IF(AJ6&gt;=0.51, 4, IF(AJ6&gt;=0.4, 3, IF(AJ6&gt;=0.28, 2, IF(AJ6&gt;=0.18, 1, "U"))))))</f>
        <v/>
      </c>
      <c r="AL6" s="10">
        <f>IF(ISNUMBER(AK6), AK6-H6, "N/A")</f>
        <v/>
      </c>
      <c r="AM6" s="11">
        <f>IF(AK6&gt;=I6, "On Track / Target Met", IF(AK6=I6-1, "At Risk (1 Grade Below)", "URGENT INTERVENTION (2+ Grades Below)"))</f>
        <v/>
      </c>
      <c r="AN6" s="11" t="inlineStr">
        <is>
          <t>6-mark extended response explanations</t>
        </is>
      </c>
      <c r="AO6" s="32">
        <f>'Required Practicals Tracker'!I32</f>
        <v/>
      </c>
      <c r="AP6" s="32">
        <f>IF(AO6=0, "Fully Compliant (100%)", IF(AO6&lt;=3, "ACTION REQUIRED (" &amp; AO6 &amp; " Pending)", "CRITICAL DEFICIT (" &amp; AO6 &amp; " Pending)"))</f>
        <v/>
      </c>
    </row>
    <row r="7" ht="20.15" customHeight="1" s="52">
      <c r="A7" s="7" t="inlineStr">
        <is>
          <t>SCI-103</t>
        </is>
      </c>
      <c r="B7" s="8" t="inlineStr">
        <is>
          <t>Marcus Taylor</t>
        </is>
      </c>
      <c r="C7" s="7" t="n">
        <v>11</v>
      </c>
      <c r="D7" s="7" t="n">
        <v>15</v>
      </c>
      <c r="E7" s="8" t="inlineStr">
        <is>
          <t>AQA</t>
        </is>
      </c>
      <c r="F7" s="8" t="inlineStr">
        <is>
          <t>Combined Science</t>
        </is>
      </c>
      <c r="G7" s="7" t="inlineStr">
        <is>
          <t>Foundation (F)</t>
        </is>
      </c>
      <c r="H7" s="7" t="n">
        <v>3</v>
      </c>
      <c r="I7" s="7" t="n">
        <v>4</v>
      </c>
      <c r="J7" s="9" t="n">
        <v>16</v>
      </c>
      <c r="K7" s="9" t="n">
        <v>14</v>
      </c>
      <c r="L7" s="9" t="n">
        <v>15</v>
      </c>
      <c r="M7" s="9" t="n">
        <v>13</v>
      </c>
      <c r="N7" s="9" t="n">
        <v>17</v>
      </c>
      <c r="O7" s="9" t="n">
        <v>15</v>
      </c>
      <c r="P7" s="9" t="n">
        <v>16</v>
      </c>
      <c r="Q7" s="9" t="n">
        <v>14</v>
      </c>
      <c r="R7" s="9" t="n">
        <v>15</v>
      </c>
      <c r="S7" s="9" t="n">
        <v>12</v>
      </c>
      <c r="T7" s="9" t="n">
        <v>14</v>
      </c>
      <c r="U7" s="9" t="n">
        <v>13</v>
      </c>
      <c r="V7" s="9" t="n">
        <v>15</v>
      </c>
      <c r="W7" s="9" t="n">
        <v>14</v>
      </c>
      <c r="X7" s="9" t="n">
        <v>16</v>
      </c>
      <c r="Y7" s="9" t="n">
        <v>15</v>
      </c>
      <c r="Z7" s="9" t="n">
        <v>14</v>
      </c>
      <c r="AA7" s="9" t="n">
        <v>13</v>
      </c>
      <c r="AB7" s="9" t="n">
        <v>14</v>
      </c>
      <c r="AC7" s="9" t="n">
        <v>15</v>
      </c>
      <c r="AD7" s="9" t="n">
        <v>16</v>
      </c>
      <c r="AE7" s="9" t="n">
        <v>14</v>
      </c>
      <c r="AF7" s="9" t="n">
        <v>13</v>
      </c>
      <c r="AG7" s="7" t="n"/>
      <c r="AH7" s="7" t="n"/>
      <c r="AI7" s="17">
        <f>AVERAGE(J7:AH7)</f>
        <v/>
      </c>
      <c r="AJ7" s="18">
        <f>AI7/35</f>
        <v/>
      </c>
      <c r="AK7" s="7">
        <f>IF(ISNUMBER(SEARCH("Higher", G7)), IF(AJ7&gt;=0.77, 9, IF(AJ7&gt;=0.66, 8, IF(AJ7&gt;=0.57, 7, IF(AJ7&gt;=0.46, 6, IF(AJ7&gt;=0.37, 5, IF(AJ7&gt;=0.29, 4, IF(AJ7&gt;=0.2, 3, "U"))))))), IF(AJ7&gt;=0.63, 5, IF(AJ7&gt;=0.51, 4, IF(AJ7&gt;=0.4, 3, IF(AJ7&gt;=0.28, 2, IF(AJ7&gt;=0.18, 1, "U"))))))</f>
        <v/>
      </c>
      <c r="AL7" s="7">
        <f>IF(ISNUMBER(AK7), AK7-H7, "N/A")</f>
        <v/>
      </c>
      <c r="AM7" s="8">
        <f>IF(AK7&gt;=I7, "On Track / Target Met", IF(AK7=I7-1, "At Risk (1 Grade Below)", "URGENT INTERVENTION (2+ Grades Below)"))</f>
        <v/>
      </c>
      <c r="AN7" s="8" t="inlineStr">
        <is>
          <t>Electricity formula rearrangement &amp; circuit rules</t>
        </is>
      </c>
      <c r="AO7" s="32">
        <f>'Required Practicals Tracker'!J32</f>
        <v/>
      </c>
      <c r="AP7" s="32">
        <f>IF(AO7=0, "Fully Compliant (100%)", IF(AO7&lt;=3, "ACTION REQUIRED (" &amp; AO7 &amp; " Pending)", "CRITICAL DEFICIT (" &amp; AO7 &amp; " Pending)"))</f>
        <v/>
      </c>
    </row>
    <row r="8" ht="20.15" customHeight="1" s="52">
      <c r="A8" s="10" t="inlineStr">
        <is>
          <t>SCI-104</t>
        </is>
      </c>
      <c r="B8" s="11" t="inlineStr">
        <is>
          <t>Aaliyah Patel</t>
        </is>
      </c>
      <c r="C8" s="10" t="n">
        <v>10</v>
      </c>
      <c r="D8" s="10" t="n">
        <v>14</v>
      </c>
      <c r="E8" s="11" t="inlineStr">
        <is>
          <t>AQA</t>
        </is>
      </c>
      <c r="F8" s="11" t="inlineStr">
        <is>
          <t>Combined Science</t>
        </is>
      </c>
      <c r="G8" s="10" t="inlineStr">
        <is>
          <t>Higher (H)</t>
        </is>
      </c>
      <c r="H8" s="10" t="n">
        <v>5</v>
      </c>
      <c r="I8" s="10" t="n">
        <v>6</v>
      </c>
      <c r="J8" s="12" t="n">
        <v>17</v>
      </c>
      <c r="K8" s="12" t="n">
        <v>16</v>
      </c>
      <c r="L8" s="12" t="n">
        <v>18</v>
      </c>
      <c r="M8" s="12" t="n">
        <v>15</v>
      </c>
      <c r="N8" s="12" t="n">
        <v>16</v>
      </c>
      <c r="O8" s="12" t="n">
        <v>17</v>
      </c>
      <c r="P8" s="12" t="n">
        <v>19</v>
      </c>
      <c r="Q8" s="12" t="n">
        <v>16</v>
      </c>
      <c r="R8" s="12" t="n">
        <v>18</v>
      </c>
      <c r="S8" s="12" t="n">
        <v>14</v>
      </c>
      <c r="T8" s="12" t="n">
        <v>17</v>
      </c>
      <c r="U8" s="12" t="n">
        <v>15</v>
      </c>
      <c r="V8" s="12" t="n">
        <v>16</v>
      </c>
      <c r="W8" s="12" t="n">
        <v>17</v>
      </c>
      <c r="X8" s="12" t="n">
        <v>18</v>
      </c>
      <c r="Y8" s="12" t="n">
        <v>17</v>
      </c>
      <c r="Z8" s="12" t="n">
        <v>16</v>
      </c>
      <c r="AA8" s="12" t="n">
        <v>15</v>
      </c>
      <c r="AB8" s="12" t="n">
        <v>16</v>
      </c>
      <c r="AC8" s="12" t="n">
        <v>17</v>
      </c>
      <c r="AD8" s="12" t="n">
        <v>18</v>
      </c>
      <c r="AE8" s="12" t="n">
        <v>16</v>
      </c>
      <c r="AF8" s="12" t="n">
        <v>15</v>
      </c>
      <c r="AG8" s="10" t="n"/>
      <c r="AH8" s="10" t="n"/>
      <c r="AI8" s="19">
        <f>AVERAGE(J8:AH8)</f>
        <v/>
      </c>
      <c r="AJ8" s="20">
        <f>AI8/35</f>
        <v/>
      </c>
      <c r="AK8" s="7">
        <f>IF(ISNUMBER(SEARCH("Higher", G8)), IF(AJ8&gt;=0.77, 9, IF(AJ8&gt;=0.66, 8, IF(AJ8&gt;=0.57, 7, IF(AJ8&gt;=0.46, 6, IF(AJ8&gt;=0.37, 5, IF(AJ8&gt;=0.29, 4, IF(AJ8&gt;=0.2, 3, "U"))))))), IF(AJ8&gt;=0.63, 5, IF(AJ8&gt;=0.51, 4, IF(AJ8&gt;=0.4, 3, IF(AJ8&gt;=0.28, 2, IF(AJ8&gt;=0.18, 1, "U"))))))</f>
        <v/>
      </c>
      <c r="AL8" s="10">
        <f>IF(ISNUMBER(AK8), AK8-H8, "N/A")</f>
        <v/>
      </c>
      <c r="AM8" s="11">
        <f>IF(AK8&gt;=I8, "On Track / Target Met", IF(AK8=I8-1, "At Risk (1 Grade Below)", "URGENT INTERVENTION (2+ Grades Below)"))</f>
        <v/>
      </c>
      <c r="AN8" s="11" t="inlineStr">
        <is>
          <t>Bond energy stoichiometry &amp; titration</t>
        </is>
      </c>
      <c r="AO8" s="32">
        <f>'Required Practicals Tracker'!K32</f>
        <v/>
      </c>
      <c r="AP8" s="32">
        <f>IF(AO8=0, "Fully Compliant (100%)", IF(AO8&lt;=3, "ACTION REQUIRED (" &amp; AO8 &amp; " Pending)", "CRITICAL DEFICIT (" &amp; AO8 &amp; " Pending)"))</f>
        <v/>
      </c>
    </row>
    <row r="9" ht="20.15" customHeight="1" s="52">
      <c r="A9" s="7" t="inlineStr">
        <is>
          <t>SCI-105</t>
        </is>
      </c>
      <c r="B9" s="8" t="inlineStr">
        <is>
          <t>Callum Wright</t>
        </is>
      </c>
      <c r="C9" s="7" t="n">
        <v>11</v>
      </c>
      <c r="D9" s="7" t="n">
        <v>16</v>
      </c>
      <c r="E9" s="8" t="inlineStr">
        <is>
          <t>Edexcel</t>
        </is>
      </c>
      <c r="F9" s="8" t="inlineStr">
        <is>
          <t>Triple Science</t>
        </is>
      </c>
      <c r="G9" s="7" t="inlineStr">
        <is>
          <t>Higher (H)</t>
        </is>
      </c>
      <c r="H9" s="7" t="n">
        <v>6</v>
      </c>
      <c r="I9" s="7" t="n">
        <v>7</v>
      </c>
      <c r="J9" s="9" t="n">
        <v>21</v>
      </c>
      <c r="K9" s="9" t="n">
        <v>19</v>
      </c>
      <c r="L9" s="9" t="n">
        <v>20</v>
      </c>
      <c r="M9" s="9" t="n">
        <v>18</v>
      </c>
      <c r="N9" s="9" t="n">
        <v>22</v>
      </c>
      <c r="O9" s="9" t="n">
        <v>21</v>
      </c>
      <c r="P9" s="9" t="n">
        <v>20</v>
      </c>
      <c r="Q9" s="9" t="n">
        <v>19</v>
      </c>
      <c r="R9" s="9" t="n">
        <v>22</v>
      </c>
      <c r="S9" s="9" t="n">
        <v>17</v>
      </c>
      <c r="T9" s="9" t="n">
        <v>20</v>
      </c>
      <c r="U9" s="9" t="n">
        <v>19</v>
      </c>
      <c r="V9" s="9" t="n">
        <v>21</v>
      </c>
      <c r="W9" s="9" t="n">
        <v>20</v>
      </c>
      <c r="X9" s="9" t="n">
        <v>22</v>
      </c>
      <c r="Y9" s="9" t="n">
        <v>21</v>
      </c>
      <c r="Z9" s="9" t="n">
        <v>20</v>
      </c>
      <c r="AA9" s="9" t="n">
        <v>19</v>
      </c>
      <c r="AB9" s="9" t="n">
        <v>18</v>
      </c>
      <c r="AC9" s="9" t="n">
        <v>21</v>
      </c>
      <c r="AD9" s="9" t="n">
        <v>22</v>
      </c>
      <c r="AE9" s="9" t="n">
        <v>18</v>
      </c>
      <c r="AF9" s="9" t="n">
        <v>17</v>
      </c>
      <c r="AG9" s="9" t="n">
        <v>21</v>
      </c>
      <c r="AH9" s="7" t="n"/>
      <c r="AI9" s="17">
        <f>AVERAGE(J9:AH9)</f>
        <v/>
      </c>
      <c r="AJ9" s="18">
        <f>AI9/35</f>
        <v/>
      </c>
      <c r="AK9" s="7">
        <f>IF(ISNUMBER(SEARCH("Higher", G9)), IF(AJ9&gt;=0.77, 9, IF(AJ9&gt;=0.66, 8, IF(AJ9&gt;=0.57, 7, IF(AJ9&gt;=0.46, 6, IF(AJ9&gt;=0.37, 5, IF(AJ9&gt;=0.29, 4, IF(AJ9&gt;=0.2, 3, "U"))))))), IF(AJ9&gt;=0.63, 5, IF(AJ9&gt;=0.51, 4, IF(AJ9&gt;=0.4, 3, IF(AJ9&gt;=0.28, 2, IF(AJ9&gt;=0.18, 1, "U"))))))</f>
        <v/>
      </c>
      <c r="AL9" s="7">
        <f>IF(ISNUMBER(AK9), AK9-H9, "N/A")</f>
        <v/>
      </c>
      <c r="AM9" s="8">
        <f>IF(AK9&gt;=I9, "On Track / Target Met", IF(AK9=I9-1, "At Risk (1 Grade Below)", "URGENT INTERVENTION (2+ Grades Below)"))</f>
        <v/>
      </c>
      <c r="AN9" s="8" t="inlineStr">
        <is>
          <t>Newton's laws &amp; velocity-time graph gradients</t>
        </is>
      </c>
      <c r="AO9" s="32">
        <f>'Required Practicals Tracker'!L32</f>
        <v/>
      </c>
      <c r="AP9" s="32">
        <f>IF(AO9=0, "Fully Compliant (100%)", IF(AO9&lt;=3, "ACTION REQUIRED (" &amp; AO9 &amp; " Pending)", "CRITICAL DEFICIT (" &amp; AO9 &amp; " Pending)"))</f>
        <v/>
      </c>
    </row>
    <row r="10" ht="20.15" customHeight="1" s="52">
      <c r="A10" s="10" t="inlineStr">
        <is>
          <t>SCI-106</t>
        </is>
      </c>
      <c r="B10" s="11" t="inlineStr">
        <is>
          <t>Elena Popa</t>
        </is>
      </c>
      <c r="C10" s="10" t="n">
        <v>10</v>
      </c>
      <c r="D10" s="10" t="n">
        <v>15</v>
      </c>
      <c r="E10" s="11" t="inlineStr">
        <is>
          <t>AQA</t>
        </is>
      </c>
      <c r="F10" s="11" t="inlineStr">
        <is>
          <t>Combined Science</t>
        </is>
      </c>
      <c r="G10" s="10" t="inlineStr">
        <is>
          <t>Higher (H)</t>
        </is>
      </c>
      <c r="H10" s="10" t="n">
        <v>7</v>
      </c>
      <c r="I10" s="10" t="n">
        <v>8</v>
      </c>
      <c r="J10" s="12" t="n">
        <v>27</v>
      </c>
      <c r="K10" s="12" t="n">
        <v>26</v>
      </c>
      <c r="L10" s="12" t="n">
        <v>28</v>
      </c>
      <c r="M10" s="12" t="n">
        <v>25</v>
      </c>
      <c r="N10" s="12" t="n">
        <v>28</v>
      </c>
      <c r="O10" s="12" t="n">
        <v>27</v>
      </c>
      <c r="P10" s="12" t="n">
        <v>29</v>
      </c>
      <c r="Q10" s="12" t="n">
        <v>26</v>
      </c>
      <c r="R10" s="12" t="n">
        <v>27</v>
      </c>
      <c r="S10" s="12" t="n">
        <v>24</v>
      </c>
      <c r="T10" s="12" t="n">
        <v>27</v>
      </c>
      <c r="U10" s="12" t="n">
        <v>26</v>
      </c>
      <c r="V10" s="12" t="n">
        <v>28</v>
      </c>
      <c r="W10" s="12" t="n">
        <v>25</v>
      </c>
      <c r="X10" s="12" t="n">
        <v>27</v>
      </c>
      <c r="Y10" s="12" t="n">
        <v>28</v>
      </c>
      <c r="Z10" s="12" t="n">
        <v>27</v>
      </c>
      <c r="AA10" s="12" t="n">
        <v>26</v>
      </c>
      <c r="AB10" s="12" t="n">
        <v>25</v>
      </c>
      <c r="AC10" s="12" t="n">
        <v>28</v>
      </c>
      <c r="AD10" s="12" t="n">
        <v>29</v>
      </c>
      <c r="AE10" s="12" t="n">
        <v>25</v>
      </c>
      <c r="AF10" s="12" t="n">
        <v>24</v>
      </c>
      <c r="AG10" s="10" t="n"/>
      <c r="AH10" s="10" t="n"/>
      <c r="AI10" s="19">
        <f>AVERAGE(J10:AH10)</f>
        <v/>
      </c>
      <c r="AJ10" s="20">
        <f>AI10/35</f>
        <v/>
      </c>
      <c r="AK10" s="7">
        <f>IF(ISNUMBER(SEARCH("Higher", G10)), IF(AJ10&gt;=0.77, 9, IF(AJ10&gt;=0.66, 8, IF(AJ10&gt;=0.57, 7, IF(AJ10&gt;=0.46, 6, IF(AJ10&gt;=0.37, 5, IF(AJ10&gt;=0.29, 4, IF(AJ10&gt;=0.2, 3, "U"))))))), IF(AJ10&gt;=0.63, 5, IF(AJ10&gt;=0.51, 4, IF(AJ10&gt;=0.4, 3, IF(AJ10&gt;=0.28, 2, IF(AJ10&gt;=0.18, 1, "U"))))))</f>
        <v/>
      </c>
      <c r="AL10" s="10">
        <f>IF(ISNUMBER(AK10), AK10-H10, "N/A")</f>
        <v/>
      </c>
      <c r="AM10" s="11">
        <f>IF(AK10&gt;=I10, "On Track / Target Met", IF(AK10=I10-1, "At Risk (1 Grade Below)", "URGENT INTERVENTION (2+ Grades Below)"))</f>
        <v/>
      </c>
      <c r="AN10" s="11" t="inlineStr">
        <is>
          <t>Required practical methods &amp; control variables</t>
        </is>
      </c>
      <c r="AO10" s="32">
        <f>'Required Practicals Tracker'!M32</f>
        <v/>
      </c>
      <c r="AP10" s="32">
        <f>IF(AO10=0, "Fully Compliant (100%)", IF(AO10&lt;=3, "ACTION REQUIRED (" &amp; AO10 &amp; " Pending)", "CRITICAL DEFICIT (" &amp; AO10 &amp; " Pending)"))</f>
        <v/>
      </c>
    </row>
    <row r="11" ht="20.15" customHeight="1" s="52">
      <c r="A11" s="10" t="inlineStr">
        <is>
          <t>SCI-107</t>
        </is>
      </c>
      <c r="B11" s="11" t="inlineStr">
        <is>
          <t>Maria Nadeem</t>
        </is>
      </c>
      <c r="C11" s="10" t="n">
        <v>11</v>
      </c>
      <c r="D11" s="10" t="n">
        <v>15</v>
      </c>
      <c r="E11" s="11" t="inlineStr">
        <is>
          <t>AQA</t>
        </is>
      </c>
      <c r="F11" s="11" t="inlineStr">
        <is>
          <t>Combined Science</t>
        </is>
      </c>
      <c r="G11" s="10" t="inlineStr">
        <is>
          <t>Foundation (F)</t>
        </is>
      </c>
      <c r="H11" s="10" t="n">
        <v>13</v>
      </c>
      <c r="I11" s="10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0" t="n"/>
      <c r="AH11" s="10" t="n"/>
      <c r="AI11" s="19" t="n"/>
      <c r="AJ11" s="20" t="n"/>
      <c r="AK11" s="7" t="n"/>
      <c r="AL11" s="10" t="n"/>
      <c r="AM11" s="11" t="n"/>
      <c r="AN11" s="11" t="n"/>
      <c r="AO11" s="32" t="n"/>
      <c r="AP11" s="32" t="n"/>
    </row>
    <row r="12" ht="20.15" customHeight="1" s="52">
      <c r="A12" s="7" t="inlineStr">
        <is>
          <t>SCI-108</t>
        </is>
      </c>
      <c r="B12" s="8" t="inlineStr">
        <is>
          <t>Bilal Wahid</t>
        </is>
      </c>
      <c r="C12" s="7" t="n">
        <v>11</v>
      </c>
      <c r="D12" s="7" t="n">
        <v>15</v>
      </c>
      <c r="E12" s="8" t="inlineStr">
        <is>
          <t>AQA</t>
        </is>
      </c>
      <c r="F12" s="8" t="inlineStr">
        <is>
          <t>Combined Science</t>
        </is>
      </c>
      <c r="G12" s="7" t="inlineStr">
        <is>
          <t>Foundation (F)</t>
        </is>
      </c>
      <c r="H12" s="7" t="n">
        <v>2</v>
      </c>
      <c r="I12" s="7" t="n">
        <v>4</v>
      </c>
      <c r="J12" s="9" t="n">
        <v>13</v>
      </c>
      <c r="K12" s="9" t="n">
        <v>9</v>
      </c>
      <c r="L12" s="9" t="n"/>
      <c r="M12" s="9" t="n"/>
      <c r="N12" s="9" t="n"/>
      <c r="O12" s="9" t="n"/>
      <c r="P12" s="9" t="n"/>
      <c r="Q12" s="9" t="n">
        <v>25</v>
      </c>
      <c r="R12" s="9" t="n">
        <v>18</v>
      </c>
      <c r="S12" s="9" t="n"/>
      <c r="T12" s="9" t="n"/>
      <c r="U12" s="9" t="n"/>
      <c r="V12" s="9" t="n"/>
      <c r="W12" s="9" t="n"/>
      <c r="X12" s="9" t="n"/>
      <c r="Y12" s="9" t="n"/>
      <c r="Z12" s="9" t="n"/>
      <c r="AA12" s="9" t="n">
        <v>13</v>
      </c>
      <c r="AB12" s="9" t="n"/>
      <c r="AC12" s="9" t="n"/>
      <c r="AD12" s="9" t="n"/>
      <c r="AE12" s="9" t="n"/>
      <c r="AF12" s="9" t="n"/>
      <c r="AG12" s="7" t="n"/>
      <c r="AH12" s="7" t="n"/>
      <c r="AI12" s="17" t="n">
        <v>12.5</v>
      </c>
      <c r="AJ12" s="18" t="n">
        <v>0.3571428571428572</v>
      </c>
      <c r="AK12" s="7">
        <f>IF(ISNUMBER(SEARCH("Higher", G12)), IF(AJ12&gt;=0.77, 9, IF(AJ12&gt;=0.66, 8, IF(AJ12&gt;=0.57, 7, IF(AJ12&gt;=0.46, 6, IF(AJ12&gt;=0.37, 5, IF(AJ12&gt;=0.29, 4, IF(AJ12&gt;=0.2, 3, "U"))))))), IF(AJ12&gt;=0.63, 5, IF(AJ12&gt;=0.51, 4, IF(AJ12&gt;=0.4, 3, IF(AJ12&gt;=0.28, 2, IF(AJ12&gt;=0.18, 1, "U"))))))</f>
        <v/>
      </c>
      <c r="AL12" s="7">
        <f>IF(ISNUMBER(AK12), AK12-H12, "N/A")</f>
        <v/>
      </c>
      <c r="AM12" s="8">
        <f>IF(AK12&gt;=I12, "On Track / Target Met", IF(AK12=I12-1, "At Risk (1 Grade Below)", "URGENT INTERVENTION (2+ Grades Below)"))</f>
        <v/>
      </c>
      <c r="AN12" s="8" t="inlineStr">
        <is>
          <t>Core biology key terms &amp; definitions</t>
        </is>
      </c>
      <c r="AO12" s="32">
        <f>'Required Practicals Tracker'!N32</f>
        <v/>
      </c>
      <c r="AP12" s="32">
        <f>IF(AO12=0, "Fully Compliant (100%)", IF(AO12&lt;=3, "ACTION REQUIRED (" &amp; AO12 &amp; " Pending)", "CRITICAL DEFICIT (" &amp; AO12 &amp; " Pending)"))</f>
        <v/>
      </c>
    </row>
    <row r="13" ht="20.15" customHeight="1" s="52">
      <c r="A13" t="inlineStr">
        <is>
          <t>SCI-009</t>
        </is>
      </c>
      <c r="B13" t="inlineStr">
        <is>
          <t>Daud Farid</t>
        </is>
      </c>
      <c r="C13" t="n">
        <v>10</v>
      </c>
      <c r="D13" t="n">
        <v>14</v>
      </c>
      <c r="E13" t="inlineStr">
        <is>
          <t>AQA</t>
        </is>
      </c>
      <c r="F13" t="inlineStr">
        <is>
          <t>Combined Science</t>
        </is>
      </c>
      <c r="G13" t="inlineStr">
        <is>
          <t>Higher (H)</t>
        </is>
      </c>
      <c r="H13" t="n">
        <v>29</v>
      </c>
      <c r="I13" t="n">
        <v>5</v>
      </c>
    </row>
    <row r="14" ht="20.15" customHeight="1" s="52">
      <c r="A14" t="inlineStr">
        <is>
          <t>SCI-119</t>
        </is>
      </c>
      <c r="B14" t="inlineStr">
        <is>
          <t>Haashim Ali Sadiq</t>
        </is>
      </c>
      <c r="C14" t="n">
        <v>9</v>
      </c>
      <c r="D14" t="n">
        <v>13</v>
      </c>
      <c r="E14" t="inlineStr">
        <is>
          <t>AQA</t>
        </is>
      </c>
      <c r="F14" t="inlineStr">
        <is>
          <t>Combined Science</t>
        </is>
      </c>
      <c r="G14" t="inlineStr">
        <is>
          <t>Higher (H)</t>
        </is>
      </c>
      <c r="H14" t="n">
        <v>26</v>
      </c>
      <c r="I14" t="n">
        <v>5</v>
      </c>
    </row>
    <row r="15" ht="22" customHeight="1" s="52">
      <c r="A15" s="51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7" t="n"/>
      <c r="AH15" s="7" t="n"/>
      <c r="AI15" s="48" t="n"/>
      <c r="AJ15" s="49" t="n"/>
      <c r="AK15" s="7" t="n"/>
      <c r="AL15" s="7" t="n"/>
      <c r="AM15" s="8" t="n"/>
      <c r="AN15" s="8" t="n"/>
      <c r="AO15" s="32" t="n"/>
      <c r="AP15" s="32" t="n"/>
    </row>
    <row r="16">
      <c r="A16" s="51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  <c r="Z16" s="9" t="n"/>
      <c r="AA16" s="9" t="n"/>
      <c r="AB16" s="9" t="n"/>
      <c r="AC16" s="9" t="n"/>
      <c r="AD16" s="9" t="n"/>
      <c r="AE16" s="9" t="n"/>
      <c r="AF16" s="9" t="n"/>
      <c r="AG16" s="7" t="n"/>
      <c r="AH16" s="7" t="n"/>
      <c r="AI16" s="48" t="n"/>
      <c r="AJ16" s="49" t="n"/>
      <c r="AK16" s="7" t="n"/>
      <c r="AL16" s="7" t="n"/>
      <c r="AM16" s="8" t="n"/>
      <c r="AN16" s="8" t="n"/>
      <c r="AO16" s="32" t="n"/>
      <c r="AP16" s="32" t="n"/>
    </row>
    <row r="17">
      <c r="A17" s="66" t="inlineStr">
        <is>
          <t>COHORT TOPIC AVERAGES (/35)</t>
        </is>
      </c>
      <c r="J17" s="21">
        <f>AVERAGE(J5:J12)</f>
        <v/>
      </c>
      <c r="K17" s="21">
        <f>AVERAGE(K5:K12)</f>
        <v/>
      </c>
      <c r="L17" s="21">
        <f>AVERAGE(L5:L12)</f>
        <v/>
      </c>
      <c r="M17" s="21">
        <f>AVERAGE(M5:M12)</f>
        <v/>
      </c>
      <c r="N17" s="21">
        <f>AVERAGE(N5:N12)</f>
        <v/>
      </c>
      <c r="O17" s="21">
        <f>AVERAGE(O5:O12)</f>
        <v/>
      </c>
      <c r="P17" s="21">
        <f>AVERAGE(P5:P12)</f>
        <v/>
      </c>
      <c r="Q17" s="21">
        <f>AVERAGE(Q5:Q12)</f>
        <v/>
      </c>
      <c r="R17" s="21">
        <f>AVERAGE(R5:R12)</f>
        <v/>
      </c>
      <c r="S17" s="21">
        <f>AVERAGE(S5:S12)</f>
        <v/>
      </c>
      <c r="T17" s="21">
        <f>AVERAGE(T5:T12)</f>
        <v/>
      </c>
      <c r="U17" s="21">
        <f>AVERAGE(U5:U12)</f>
        <v/>
      </c>
      <c r="V17" s="21">
        <f>AVERAGE(V5:V12)</f>
        <v/>
      </c>
      <c r="W17" s="21">
        <f>AVERAGE(W5:W12)</f>
        <v/>
      </c>
      <c r="X17" s="21">
        <f>AVERAGE(X5:X12)</f>
        <v/>
      </c>
      <c r="Y17" s="21">
        <f>AVERAGE(Y5:Y12)</f>
        <v/>
      </c>
      <c r="Z17" s="21">
        <f>AVERAGE(Z5:Z12)</f>
        <v/>
      </c>
      <c r="AA17" s="21">
        <f>AVERAGE(AA5:AA12)</f>
        <v/>
      </c>
      <c r="AB17" s="21">
        <f>AVERAGE(AB5:AB12)</f>
        <v/>
      </c>
      <c r="AC17" s="21">
        <f>AVERAGE(AC5:AC12)</f>
        <v/>
      </c>
      <c r="AD17" s="21">
        <f>AVERAGE(AD5:AD12)</f>
        <v/>
      </c>
      <c r="AE17" s="21">
        <f>AVERAGE(AE5:AE12)</f>
        <v/>
      </c>
      <c r="AF17" s="21">
        <f>AVERAGE(AF5:AF12)</f>
        <v/>
      </c>
      <c r="AG17" s="21">
        <f>AVERAGE(AG5:AG12)</f>
        <v/>
      </c>
      <c r="AH17" s="21">
        <f>AVERAGE(AH5:AH12)</f>
        <v/>
      </c>
      <c r="AI17" s="22">
        <f>AVERAGE(AI5:AI12)</f>
        <v/>
      </c>
      <c r="AJ17" s="23">
        <f>AVERAGE(AJ5:AJ12)</f>
        <v/>
      </c>
      <c r="AK17" s="13" t="n"/>
      <c r="AL17" s="13" t="n"/>
      <c r="AM17" s="13" t="n"/>
      <c r="AN17" s="13" t="n"/>
      <c r="AO17" s="33">
        <f>AVERAGE(AO5:AO12)</f>
        <v/>
      </c>
      <c r="AP17" s="13" t="n"/>
    </row>
  </sheetData>
  <mergeCells count="7">
    <mergeCell ref="A15:I15"/>
    <mergeCell ref="AI3:AP3"/>
    <mergeCell ref="A1:AP1"/>
    <mergeCell ref="AA3:AH3"/>
    <mergeCell ref="J3:P3"/>
    <mergeCell ref="A3:I3"/>
    <mergeCell ref="Q3:Z3"/>
  </mergeCells>
  <conditionalFormatting sqref="AL5:AL14">
    <cfRule type="cellIs" priority="4" operator="greaterThan" dxfId="0" stopIfTrue="1">
      <formula>0</formula>
    </cfRule>
    <cfRule type="cellIs" priority="5" operator="lessThan" dxfId="2" stopIfTrue="1">
      <formula>0</formula>
    </cfRule>
  </conditionalFormatting>
  <conditionalFormatting sqref="AM5:AM14">
    <cfRule type="cellIs" priority="1" operator="equal" dxfId="0" stopIfTrue="1">
      <formula>"On Track / Target Met"</formula>
    </cfRule>
    <cfRule type="cellIs" priority="2" operator="equal" dxfId="1" stopIfTrue="1">
      <formula>"At Risk (1 Grade Below)"</formula>
    </cfRule>
    <cfRule type="cellIs" priority="3" operator="equal" dxfId="2" stopIfTrue="1">
      <formula>"URGENT INTERVENTION (2+ Grades Below)"</formula>
    </cfRule>
  </conditionalFormatting>
  <conditionalFormatting sqref="AO5:AO14">
    <cfRule type="cellIs" priority="9" operator="equal" dxfId="0" stopIfTrue="1">
      <formula>0</formula>
    </cfRule>
    <cfRule type="cellIs" priority="10" operator="greaterThan" dxfId="2" stopIfTrue="1">
      <formula>0</formula>
    </cfRule>
  </conditionalFormatting>
  <hyperlinks>
    <hyperlink ref="AO5" location="'Required Practicals Tracker'!H4" display="'Required Practicals Tracker'!H4"/>
    <hyperlink ref="AO6" location="'Required Practicals Tracker'!I4" display="'Required Practicals Tracker'!I4"/>
    <hyperlink ref="AO7" location="'Required Practicals Tracker'!J4" display="'Required Practicals Tracker'!J4"/>
    <hyperlink ref="AO8" location="'Required Practicals Tracker'!K4" display="'Required Practicals Tracker'!K4"/>
    <hyperlink ref="AO9" location="'Required Practicals Tracker'!L4" display="'Required Practicals Tracker'!L4"/>
    <hyperlink ref="AO10" location="'Required Practicals Tracker'!M4" display="'Required Practicals Tracker'!M4"/>
    <hyperlink ref="AO12" location="'Required Practicals Tracker'!N4" display="'Required Practicals Tracker'!N4"/>
  </hyperlink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codeName="Sheet5">
    <outlinePr summaryBelow="1" summaryRight="1"/>
    <pageSetUpPr/>
  </sheetPr>
  <dimension ref="A1:AR12"/>
  <sheetViews>
    <sheetView workbookViewId="0">
      <pane xSplit="9" ySplit="4" topLeftCell="J5" activePane="bottomRight" state="frozen"/>
      <selection pane="topRight" activeCell="A1" sqref="A1"/>
      <selection pane="bottomLeft" activeCell="A1" sqref="A1"/>
      <selection pane="bottomRight" activeCell="V16" sqref="V16"/>
    </sheetView>
  </sheetViews>
  <sheetFormatPr baseColWidth="8" defaultRowHeight="14.5"/>
  <cols>
    <col width="7.81640625" bestFit="1" customWidth="1" style="52" min="28" max="28"/>
    <col width="7.7265625" bestFit="1" customWidth="1" style="52" min="29" max="29"/>
  </cols>
  <sheetData>
    <row r="1" ht="15.5" customHeight="1" s="52">
      <c r="A1" s="62" t="inlineStr">
        <is>
          <t>GCSE SCIENCE REQUIRED PRACTICAL ASSESSMENT &amp; PROGRESS TRACKER</t>
        </is>
      </c>
    </row>
    <row r="3">
      <c r="A3" s="64" t="inlineStr">
        <is>
          <t>STUDENT DEMOGRAPHICS &amp; PROFILE</t>
        </is>
      </c>
      <c r="J3" s="63" t="inlineStr">
        <is>
          <t>BIOLOGY REQUIRED PRACTICALS (/35)</t>
        </is>
      </c>
      <c r="T3" s="59" t="inlineStr">
        <is>
          <t>CHEMISTRY REQUIRED PRACTICALS (/35)</t>
        </is>
      </c>
      <c r="AB3" s="61" t="inlineStr">
        <is>
          <t>PHYSICS REQUIRED PRACTICALS (/35)</t>
        </is>
      </c>
      <c r="AL3" s="65" t="inlineStr">
        <is>
          <t>PERFORMANCE METRICS &amp; DATA ANALYSIS</t>
        </is>
      </c>
    </row>
    <row r="4" ht="52" customHeight="1" s="52">
      <c r="A4" s="37" t="inlineStr">
        <is>
          <t>Student ID</t>
        </is>
      </c>
      <c r="B4" s="37" t="inlineStr">
        <is>
          <t>Student Name</t>
        </is>
      </c>
      <c r="C4" s="37" t="inlineStr">
        <is>
          <t>Year</t>
        </is>
      </c>
      <c r="D4" s="37" t="inlineStr">
        <is>
          <t>Age</t>
        </is>
      </c>
      <c r="E4" s="37" t="inlineStr">
        <is>
          <t>Exam Board</t>
        </is>
      </c>
      <c r="F4" s="37" t="inlineStr">
        <is>
          <t>Study Programme</t>
        </is>
      </c>
      <c r="G4" s="37" t="inlineStr">
        <is>
          <t>Tier (H/F)</t>
        </is>
      </c>
      <c r="H4" s="37" t="inlineStr">
        <is>
          <t>Baseline Grade</t>
        </is>
      </c>
      <c r="I4" s="37" t="inlineStr">
        <is>
          <t>Predicted Grade</t>
        </is>
      </c>
      <c r="J4" s="38" t="inlineStr">
        <is>
          <t>Bio RP1
Microscopy</t>
        </is>
      </c>
      <c r="K4" s="38" t="inlineStr">
        <is>
          <t>Bio RP2
Microbiology*</t>
        </is>
      </c>
      <c r="L4" s="38" t="inlineStr">
        <is>
          <t>Bio RP3
Osmosis</t>
        </is>
      </c>
      <c r="M4" s="38" t="inlineStr">
        <is>
          <t>Bio RP4
Food Tests</t>
        </is>
      </c>
      <c r="N4" s="38" t="inlineStr">
        <is>
          <t>Bio RP5
Enzymes</t>
        </is>
      </c>
      <c r="O4" s="38" t="inlineStr">
        <is>
          <t>Bio RP6
Photosynthesis</t>
        </is>
      </c>
      <c r="P4" s="38" t="inlineStr">
        <is>
          <t>Bio RP7
Reaction Time</t>
        </is>
      </c>
      <c r="Q4" s="38" t="inlineStr">
        <is>
          <t>Bio RP8
Plant Resp*</t>
        </is>
      </c>
      <c r="R4" s="38" t="inlineStr">
        <is>
          <t>Bio RP9
Field Invest</t>
        </is>
      </c>
      <c r="S4" s="38" t="inlineStr">
        <is>
          <t>Bio RP10
Decay*</t>
        </is>
      </c>
      <c r="T4" s="39" t="inlineStr">
        <is>
          <t>Chem RP1
Making Salts</t>
        </is>
      </c>
      <c r="U4" s="39" t="inlineStr">
        <is>
          <t>Chem RP2
Titration*</t>
        </is>
      </c>
      <c r="V4" s="39" t="inlineStr">
        <is>
          <t>Chem RP3
Electrolysis</t>
        </is>
      </c>
      <c r="W4" s="39" t="inlineStr">
        <is>
          <t>Chem RP4
Temp Change</t>
        </is>
      </c>
      <c r="X4" s="39" t="inlineStr">
        <is>
          <t>Chem RP5
Reaction Rates</t>
        </is>
      </c>
      <c r="Y4" s="39" t="inlineStr">
        <is>
          <t>Chem RP6
Chromatography</t>
        </is>
      </c>
      <c r="Z4" s="39" t="inlineStr">
        <is>
          <t>Chem RP7
Ion ID*</t>
        </is>
      </c>
      <c r="AA4" s="39" t="inlineStr">
        <is>
          <t>Chem RP8
Water Purif</t>
        </is>
      </c>
      <c r="AB4" s="40" t="inlineStr">
        <is>
          <t>Phys RP1
Heat Cap</t>
        </is>
      </c>
      <c r="AC4" s="40" t="inlineStr">
        <is>
          <t>Phys RP2
Thermal Ins*</t>
        </is>
      </c>
      <c r="AD4" s="40" t="inlineStr">
        <is>
          <t>Phys RP3
Resistance</t>
        </is>
      </c>
      <c r="AE4" s="40" t="inlineStr">
        <is>
          <t>Phys RP4
I-V Char</t>
        </is>
      </c>
      <c r="AF4" s="40" t="inlineStr">
        <is>
          <t>Phys RP5
Density</t>
        </is>
      </c>
      <c r="AG4" s="40" t="inlineStr">
        <is>
          <t>Phys RP6
Force &amp; Ext</t>
        </is>
      </c>
      <c r="AH4" s="40" t="inlineStr">
        <is>
          <t>Phys RP7
Acceleration</t>
        </is>
      </c>
      <c r="AI4" s="40" t="inlineStr">
        <is>
          <t>Phys RP8
Waves</t>
        </is>
      </c>
      <c r="AJ4" s="40" t="inlineStr">
        <is>
          <t>Phys RP9
Light*</t>
        </is>
      </c>
      <c r="AK4" s="40" t="inlineStr">
        <is>
          <t>Phys RP10
Radiation</t>
        </is>
      </c>
      <c r="AL4" s="41" t="inlineStr">
        <is>
          <t>Avg Mark (/35)</t>
        </is>
      </c>
      <c r="AM4" s="41" t="inlineStr">
        <is>
          <t>Avg %</t>
        </is>
      </c>
      <c r="AN4" s="41" t="inlineStr">
        <is>
          <t>Projected Grade</t>
        </is>
      </c>
      <c r="AO4" s="41" t="inlineStr">
        <is>
          <t>Progress vs Baseline</t>
        </is>
      </c>
      <c r="AP4" s="41" t="inlineStr">
        <is>
          <t>Outstanding Practicals</t>
        </is>
      </c>
      <c r="AQ4" s="41" t="inlineStr">
        <is>
          <t>Practical Compliance Flag</t>
        </is>
      </c>
      <c r="AR4" s="41" t="inlineStr">
        <is>
          <t>Data Analysis &amp; Priority Action</t>
        </is>
      </c>
    </row>
    <row r="5">
      <c r="A5">
        <f>'Student Tracker'!A5</f>
        <v/>
      </c>
      <c r="B5">
        <f>'Student Tracker'!B5</f>
        <v/>
      </c>
      <c r="C5">
        <f>'Student Tracker'!C5</f>
        <v/>
      </c>
      <c r="D5">
        <f>'Student Tracker'!D5</f>
        <v/>
      </c>
      <c r="E5">
        <f>'Student Tracker'!E5</f>
        <v/>
      </c>
      <c r="F5">
        <f>'Student Tracker'!F5</f>
        <v/>
      </c>
      <c r="G5">
        <f>'Student Tracker'!G5</f>
        <v/>
      </c>
      <c r="H5">
        <f>'Student Tracker'!H5</f>
        <v/>
      </c>
      <c r="I5">
        <f>'Student Tracker'!I5</f>
        <v/>
      </c>
      <c r="AL5">
        <f>AVERAGEIF(J5:AK5, "&gt;0")</f>
        <v/>
      </c>
      <c r="AM5">
        <f>AL5/35</f>
        <v/>
      </c>
      <c r="AN5">
        <f>IF(ISNUMBER(SEARCH("Higher", G5)), IF(AM5&gt;=0.77, 9, IF(AM5&gt;=0.66, 8, IF(AM5&gt;=0.57, 7, IF(AM5&gt;=0.46, 6, IF(AM5&gt;=0.37, 5, IF(AM5&gt;=0.29, 4, IF(AM5&gt;=0.2, 3, "U"))))))), IF(AM5&gt;=0.63, 5, IF(AM5&gt;=0.51, 4, IF(AM5&gt;=0.4, 3, IF(AM5&gt;=0.28, 2, IF(AM5&gt;=0.18, 1, "U"))))))</f>
        <v/>
      </c>
      <c r="AO5">
        <f>IF(ISNUMBER(AN5), AN5-H5, "N/A")</f>
        <v/>
      </c>
      <c r="AP5" s="42">
        <f>COUNTIF(J5:AK5, 0)</f>
        <v/>
      </c>
      <c r="AQ5">
        <f>IF(AP5=0, "Fully Compliant (100%)", IF(AP5&lt;=3, "ACTION REQUIRED (" &amp; AP5 &amp; " Pending)", "CRITICAL DEFICIT (" &amp; AP5 &amp; " Pending)"))</f>
        <v/>
      </c>
    </row>
    <row r="6">
      <c r="A6">
        <f>'Student Tracker'!A6</f>
        <v/>
      </c>
      <c r="B6">
        <f>'Student Tracker'!B6</f>
        <v/>
      </c>
      <c r="C6">
        <f>'Student Tracker'!C6</f>
        <v/>
      </c>
      <c r="D6">
        <f>'Student Tracker'!D6</f>
        <v/>
      </c>
      <c r="E6">
        <f>'Student Tracker'!E6</f>
        <v/>
      </c>
      <c r="F6">
        <f>'Student Tracker'!F6</f>
        <v/>
      </c>
      <c r="G6">
        <f>'Student Tracker'!G6</f>
        <v/>
      </c>
      <c r="H6">
        <f>'Student Tracker'!H6</f>
        <v/>
      </c>
      <c r="I6">
        <f>'Student Tracker'!I6</f>
        <v/>
      </c>
      <c r="AL6">
        <f>AVERAGEIF(J6:AK6, "&gt;0")</f>
        <v/>
      </c>
      <c r="AM6">
        <f>AL6/35</f>
        <v/>
      </c>
      <c r="AN6">
        <f>IF(ISNUMBER(SEARCH("Higher", G6)), IF(AM6&gt;=0.77, 9, IF(AM6&gt;=0.66, 8, IF(AM6&gt;=0.57, 7, IF(AM6&gt;=0.46, 6, IF(AM6&gt;=0.37, 5, IF(AM6&gt;=0.29, 4, IF(AM6&gt;=0.2, 3, "U"))))))), IF(AM6&gt;=0.63, 5, IF(AM6&gt;=0.51, 4, IF(AM6&gt;=0.4, 3, IF(AM6&gt;=0.28, 2, IF(AM6&gt;=0.18, 1, "U"))))))</f>
        <v/>
      </c>
      <c r="AO6">
        <f>IF(ISNUMBER(AN6), AN6-H6, "N/A")</f>
        <v/>
      </c>
      <c r="AP6" s="42">
        <f>COUNTIF(J6:AK6, 0)</f>
        <v/>
      </c>
      <c r="AQ6">
        <f>IF(AP6=0, "Fully Compliant (100%)", IF(AP6&lt;=3, "ACTION REQUIRED (" &amp; AP6 &amp; " Pending)", "CRITICAL DEFICIT (" &amp; AP6 &amp; " Pending)"))</f>
        <v/>
      </c>
    </row>
    <row r="7">
      <c r="A7">
        <f>'Student Tracker'!A7</f>
        <v/>
      </c>
      <c r="B7">
        <f>'Student Tracker'!B7</f>
        <v/>
      </c>
      <c r="C7">
        <f>'Student Tracker'!C7</f>
        <v/>
      </c>
      <c r="D7">
        <f>'Student Tracker'!D7</f>
        <v/>
      </c>
      <c r="E7">
        <f>'Student Tracker'!E7</f>
        <v/>
      </c>
      <c r="F7">
        <f>'Student Tracker'!F7</f>
        <v/>
      </c>
      <c r="G7">
        <f>'Student Tracker'!G7</f>
        <v/>
      </c>
      <c r="H7">
        <f>'Student Tracker'!H7</f>
        <v/>
      </c>
      <c r="I7">
        <f>'Student Tracker'!I7</f>
        <v/>
      </c>
      <c r="AL7">
        <f>AVERAGEIF(J7:AK7, "&gt;0")</f>
        <v/>
      </c>
      <c r="AM7">
        <f>AL7/35</f>
        <v/>
      </c>
      <c r="AN7">
        <f>IF(ISNUMBER(SEARCH("Higher", G7)), IF(AM7&gt;=0.77, 9, IF(AM7&gt;=0.66, 8, IF(AM7&gt;=0.57, 7, IF(AM7&gt;=0.46, 6, IF(AM7&gt;=0.37, 5, IF(AM7&gt;=0.29, 4, IF(AM7&gt;=0.2, 3, "U"))))))), IF(AM7&gt;=0.63, 5, IF(AM7&gt;=0.51, 4, IF(AM7&gt;=0.4, 3, IF(AM7&gt;=0.28, 2, IF(AM7&gt;=0.18, 1, "U"))))))</f>
        <v/>
      </c>
      <c r="AO7">
        <f>IF(ISNUMBER(AN7), AN7-H7, "N/A")</f>
        <v/>
      </c>
      <c r="AP7" s="42">
        <f>COUNTIF(J7:AK7, 0)</f>
        <v/>
      </c>
      <c r="AQ7">
        <f>IF(AP7=0, "Fully Compliant (100%)", IF(AP7&lt;=3, "ACTION REQUIRED (" &amp; AP7 &amp; " Pending)", "CRITICAL DEFICIT (" &amp; AP7 &amp; " Pending)"))</f>
        <v/>
      </c>
    </row>
    <row r="8">
      <c r="A8">
        <f>'Student Tracker'!A8</f>
        <v/>
      </c>
      <c r="B8">
        <f>'Student Tracker'!B8</f>
        <v/>
      </c>
      <c r="C8">
        <f>'Student Tracker'!C8</f>
        <v/>
      </c>
      <c r="D8">
        <f>'Student Tracker'!D8</f>
        <v/>
      </c>
      <c r="E8">
        <f>'Student Tracker'!E8</f>
        <v/>
      </c>
      <c r="F8">
        <f>'Student Tracker'!F8</f>
        <v/>
      </c>
      <c r="G8">
        <f>'Student Tracker'!G8</f>
        <v/>
      </c>
      <c r="H8">
        <f>'Student Tracker'!H8</f>
        <v/>
      </c>
      <c r="I8">
        <f>'Student Tracker'!I8</f>
        <v/>
      </c>
      <c r="AL8">
        <f>AVERAGEIF(J8:AK8, "&gt;0")</f>
        <v/>
      </c>
      <c r="AM8">
        <f>AL8/35</f>
        <v/>
      </c>
      <c r="AN8">
        <f>IF(ISNUMBER(SEARCH("Higher", G8)), IF(AM8&gt;=0.77, 9, IF(AM8&gt;=0.66, 8, IF(AM8&gt;=0.57, 7, IF(AM8&gt;=0.46, 6, IF(AM8&gt;=0.37, 5, IF(AM8&gt;=0.29, 4, IF(AM8&gt;=0.2, 3, "U"))))))), IF(AM8&gt;=0.63, 5, IF(AM8&gt;=0.51, 4, IF(AM8&gt;=0.4, 3, IF(AM8&gt;=0.28, 2, IF(AM8&gt;=0.18, 1, "U"))))))</f>
        <v/>
      </c>
      <c r="AO8">
        <f>IF(ISNUMBER(AN8), AN8-H8, "N/A")</f>
        <v/>
      </c>
      <c r="AP8" s="42">
        <f>COUNTIF(J8:AK8, 0)</f>
        <v/>
      </c>
      <c r="AQ8">
        <f>IF(AP8=0, "Fully Compliant (100%)", IF(AP8&lt;=3, "ACTION REQUIRED (" &amp; AP8 &amp; " Pending)", "CRITICAL DEFICIT (" &amp; AP8 &amp; " Pending)"))</f>
        <v/>
      </c>
    </row>
    <row r="9">
      <c r="A9">
        <f>'Student Tracker'!A9</f>
        <v/>
      </c>
      <c r="B9">
        <f>'Student Tracker'!B9</f>
        <v/>
      </c>
      <c r="C9">
        <f>'Student Tracker'!C9</f>
        <v/>
      </c>
      <c r="D9">
        <f>'Student Tracker'!D9</f>
        <v/>
      </c>
      <c r="E9">
        <f>'Student Tracker'!E9</f>
        <v/>
      </c>
      <c r="F9">
        <f>'Student Tracker'!F9</f>
        <v/>
      </c>
      <c r="G9">
        <f>'Student Tracker'!G9</f>
        <v/>
      </c>
      <c r="H9">
        <f>'Student Tracker'!H9</f>
        <v/>
      </c>
      <c r="I9">
        <f>'Student Tracker'!I9</f>
        <v/>
      </c>
      <c r="AL9">
        <f>AVERAGEIF(J9:AK9, "&gt;0")</f>
        <v/>
      </c>
      <c r="AM9">
        <f>AL9/35</f>
        <v/>
      </c>
      <c r="AN9">
        <f>IF(ISNUMBER(SEARCH("Higher", G9)), IF(AM9&gt;=0.77, 9, IF(AM9&gt;=0.66, 8, IF(AM9&gt;=0.57, 7, IF(AM9&gt;=0.46, 6, IF(AM9&gt;=0.37, 5, IF(AM9&gt;=0.29, 4, IF(AM9&gt;=0.2, 3, "U"))))))), IF(AM9&gt;=0.63, 5, IF(AM9&gt;=0.51, 4, IF(AM9&gt;=0.4, 3, IF(AM9&gt;=0.28, 2, IF(AM9&gt;=0.18, 1, "U"))))))</f>
        <v/>
      </c>
      <c r="AO9">
        <f>IF(ISNUMBER(AN9), AN9-H9, "N/A")</f>
        <v/>
      </c>
      <c r="AP9" s="42">
        <f>COUNTIF(J9:AK9, 0)</f>
        <v/>
      </c>
      <c r="AQ9">
        <f>IF(AP9=0, "Fully Compliant (100%)", IF(AP9&lt;=3, "ACTION REQUIRED (" &amp; AP9 &amp; " Pending)", "CRITICAL DEFICIT (" &amp; AP9 &amp; " Pending)"))</f>
        <v/>
      </c>
    </row>
    <row r="10">
      <c r="A10">
        <f>'Student Tracker'!A10</f>
        <v/>
      </c>
      <c r="B10">
        <f>'Student Tracker'!B10</f>
        <v/>
      </c>
      <c r="C10">
        <f>'Student Tracker'!C10</f>
        <v/>
      </c>
      <c r="D10">
        <f>'Student Tracker'!D10</f>
        <v/>
      </c>
      <c r="E10">
        <f>'Student Tracker'!E10</f>
        <v/>
      </c>
      <c r="F10">
        <f>'Student Tracker'!F10</f>
        <v/>
      </c>
      <c r="G10">
        <f>'Student Tracker'!G10</f>
        <v/>
      </c>
      <c r="H10">
        <f>'Student Tracker'!H10</f>
        <v/>
      </c>
      <c r="I10">
        <f>'Student Tracker'!I10</f>
        <v/>
      </c>
      <c r="AL10">
        <f>AVERAGEIF(J10:AK10, "&gt;0")</f>
        <v/>
      </c>
      <c r="AM10">
        <f>AL10/35</f>
        <v/>
      </c>
      <c r="AN10">
        <f>IF(ISNUMBER(SEARCH("Higher", G10)), IF(AM10&gt;=0.77, 9, IF(AM10&gt;=0.66, 8, IF(AM10&gt;=0.57, 7, IF(AM10&gt;=0.46, 6, IF(AM10&gt;=0.37, 5, IF(AM10&gt;=0.29, 4, IF(AM10&gt;=0.2, 3, "U"))))))), IF(AM10&gt;=0.63, 5, IF(AM10&gt;=0.51, 4, IF(AM10&gt;=0.4, 3, IF(AM10&gt;=0.28, 2, IF(AM10&gt;=0.18, 1, "U"))))))</f>
        <v/>
      </c>
      <c r="AO10">
        <f>IF(ISNUMBER(AN10), AN10-H10, "N/A")</f>
        <v/>
      </c>
      <c r="AP10" s="42">
        <f>COUNTIF(J10:AK10, 0)</f>
        <v/>
      </c>
      <c r="AQ10">
        <f>IF(AP10=0, "Fully Compliant (100%)", IF(AP10&lt;=3, "ACTION REQUIRED (" &amp; AP10 &amp; " Pending)", "CRITICAL DEFICIT (" &amp; AP10 &amp; " Pending)"))</f>
        <v/>
      </c>
    </row>
    <row r="11">
      <c r="A11">
        <f>'Student Tracker'!A12</f>
        <v/>
      </c>
      <c r="B11">
        <f>'Student Tracker'!B12</f>
        <v/>
      </c>
      <c r="C11">
        <f>'Student Tracker'!C12</f>
        <v/>
      </c>
      <c r="D11">
        <f>'Student Tracker'!D12</f>
        <v/>
      </c>
      <c r="E11">
        <f>'Student Tracker'!E12</f>
        <v/>
      </c>
      <c r="F11">
        <f>'Student Tracker'!F12</f>
        <v/>
      </c>
      <c r="G11">
        <f>'Student Tracker'!G12</f>
        <v/>
      </c>
      <c r="H11">
        <f>'Student Tracker'!H12</f>
        <v/>
      </c>
      <c r="I11">
        <f>'Student Tracker'!I12</f>
        <v/>
      </c>
      <c r="T11" t="n">
        <v>14</v>
      </c>
      <c r="AB11" t="n">
        <v>11</v>
      </c>
      <c r="AL11">
        <f>AVERAGEIF(J11:AK11, "&gt;0")</f>
        <v/>
      </c>
      <c r="AM11">
        <f>AL11/35</f>
        <v/>
      </c>
      <c r="AN11">
        <f>IF(ISNUMBER(SEARCH("Higher", G11)), IF(AM11&gt;=0.77, 9, IF(AM11&gt;=0.66, 8, IF(AM11&gt;=0.57, 7, IF(AM11&gt;=0.46, 6, IF(AM11&gt;=0.37, 5, IF(AM11&gt;=0.29, 4, IF(AM11&gt;=0.2, 3, "U"))))))), IF(AM11&gt;=0.63, 5, IF(AM11&gt;=0.51, 4, IF(AM11&gt;=0.4, 3, IF(AM11&gt;=0.28, 2, IF(AM11&gt;=0.18, 1, "U"))))))</f>
        <v/>
      </c>
      <c r="AO11">
        <f>IF(ISNUMBER(AN11), AN11-H11, "N/A")</f>
        <v/>
      </c>
      <c r="AP11" s="42">
        <f>COUNTIF(J11:AK11, 0)</f>
        <v/>
      </c>
      <c r="AQ11">
        <f>IF(AP11=0, "Fully Compliant (100%)", IF(AP11&lt;=3, "ACTION REQUIRED (" &amp; AP11 &amp; " Pending)", "CRITICAL DEFICIT (" &amp; AP11 &amp; " Pending)"))</f>
        <v/>
      </c>
    </row>
    <row r="12">
      <c r="H12" s="60" t="inlineStr">
        <is>
          <t>COHORT TOPIC AVERAGES (/35)</t>
        </is>
      </c>
      <c r="J12" s="43">
        <f>AVERAGEIF(J5:J11, "&gt;0")</f>
        <v/>
      </c>
      <c r="K12" s="43">
        <f>AVERAGEIF(K5:K11, "&gt;0")</f>
        <v/>
      </c>
      <c r="L12" s="43">
        <f>AVERAGEIF(L5:L11, "&gt;0")</f>
        <v/>
      </c>
      <c r="M12" s="43">
        <f>AVERAGEIF(M5:M11, "&gt;0")</f>
        <v/>
      </c>
      <c r="N12" s="43">
        <f>AVERAGEIF(N5:N11, "&gt;0")</f>
        <v/>
      </c>
      <c r="O12" s="43">
        <f>AVERAGEIF(O5:O11, "&gt;0")</f>
        <v/>
      </c>
      <c r="P12" s="43">
        <f>AVERAGEIF(P5:P11, "&gt;0")</f>
        <v/>
      </c>
      <c r="Q12" s="43">
        <f>AVERAGEIF(Q5:Q11, "&gt;0")</f>
        <v/>
      </c>
      <c r="R12" s="43">
        <f>AVERAGEIF(R5:R11, "&gt;0")</f>
        <v/>
      </c>
      <c r="S12" s="43">
        <f>AVERAGEIF(S5:S11, "&gt;0")</f>
        <v/>
      </c>
      <c r="T12" s="43">
        <f>AVERAGEIF(T5:T11, "&gt;0")</f>
        <v/>
      </c>
      <c r="U12" s="43">
        <f>AVERAGEIF(U5:U11, "&gt;0")</f>
        <v/>
      </c>
      <c r="V12" s="43">
        <f>AVERAGEIF(V5:V11, "&gt;0")</f>
        <v/>
      </c>
      <c r="W12" s="43">
        <f>AVERAGEIF(W5:W11, "&gt;0")</f>
        <v/>
      </c>
      <c r="X12" s="43">
        <f>AVERAGEIF(X5:X11, "&gt;0")</f>
        <v/>
      </c>
      <c r="Y12" s="43">
        <f>AVERAGEIF(Y5:Y11, "&gt;0")</f>
        <v/>
      </c>
      <c r="Z12" s="43">
        <f>AVERAGEIF(Z5:Z11, "&gt;0")</f>
        <v/>
      </c>
      <c r="AA12" s="43">
        <f>AVERAGEIF(AA5:AA11, "&gt;0")</f>
        <v/>
      </c>
      <c r="AB12" s="43">
        <f>AVERAGEIF(AB5:AB11, "&gt;0")</f>
        <v/>
      </c>
      <c r="AC12" s="43">
        <f>AVERAGEIF(AC5:AC11, "&gt;0")</f>
        <v/>
      </c>
      <c r="AD12" s="43">
        <f>AVERAGEIF(AD5:AD11, "&gt;0")</f>
        <v/>
      </c>
      <c r="AE12" s="43">
        <f>AVERAGEIF(AE5:AE11, "&gt;0")</f>
        <v/>
      </c>
      <c r="AF12" s="43">
        <f>AVERAGEIF(AF5:AF11, "&gt;0")</f>
        <v/>
      </c>
      <c r="AG12" s="43">
        <f>AVERAGEIF(AG5:AG11, "&gt;0")</f>
        <v/>
      </c>
      <c r="AH12" s="43">
        <f>AVERAGEIF(AH5:AH11, "&gt;0")</f>
        <v/>
      </c>
      <c r="AI12" s="43">
        <f>AVERAGEIF(AI5:AI11, "&gt;0")</f>
        <v/>
      </c>
      <c r="AJ12" s="43">
        <f>AVERAGEIF(AJ5:AJ11, "&gt;0")</f>
        <v/>
      </c>
      <c r="AK12" s="43">
        <f>AVERAGEIF(AK5:AK11, "&gt;0")</f>
        <v/>
      </c>
      <c r="AL12" s="44">
        <f>AVERAGE(AL5:AL11)</f>
        <v/>
      </c>
      <c r="AM12" s="45">
        <f>AVERAGE(AM5:AM11)</f>
        <v/>
      </c>
      <c r="AN12" s="46" t="n"/>
      <c r="AO12" s="46" t="n"/>
      <c r="AP12" s="44">
        <f>AVERAGE(AP5:AP11)</f>
        <v/>
      </c>
      <c r="AQ12" s="46" t="n"/>
    </row>
  </sheetData>
  <mergeCells count="7">
    <mergeCell ref="T3:AA3"/>
    <mergeCell ref="H12:I12"/>
    <mergeCell ref="AB3:AK3"/>
    <mergeCell ref="A1:AR1"/>
    <mergeCell ref="J3:S3"/>
    <mergeCell ref="A3:I3"/>
    <mergeCell ref="AL3:AR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P32"/>
  <sheetViews>
    <sheetView topLeftCell="G22" workbookViewId="0">
      <selection activeCell="N8" sqref="N8"/>
    </sheetView>
  </sheetViews>
  <sheetFormatPr baseColWidth="8" defaultRowHeight="14.5"/>
  <cols>
    <col width="13" customWidth="1" style="52" min="1" max="1"/>
    <col width="11" customWidth="1" style="52" min="2" max="3"/>
    <col width="26" customWidth="1" style="52" min="4" max="4"/>
    <col width="22.08984375" customWidth="1" style="52" min="5" max="5"/>
    <col width="46" customWidth="1" style="52" min="6" max="7"/>
    <col width="16" customWidth="1" style="52" min="8" max="15"/>
    <col width="11" bestFit="1" customWidth="1" style="52" min="16" max="16"/>
  </cols>
  <sheetData>
    <row r="1" ht="32.15" customHeight="1" s="52">
      <c r="A1" s="67" t="inlineStr">
        <is>
          <t>GCSE SCIENCE REQUIRED PRACTICALS SPECIFICATION &amp; STUDENT COMPLETION LOG</t>
        </is>
      </c>
    </row>
    <row r="3" ht="26.15" customHeight="1" s="52">
      <c r="A3" s="57" t="inlineStr">
        <is>
          <t>Subject</t>
        </is>
      </c>
      <c r="B3" s="57" t="inlineStr">
        <is>
          <t>RP #</t>
        </is>
      </c>
      <c r="C3" s="57" t="inlineStr">
        <is>
          <t>Paper</t>
        </is>
      </c>
      <c r="D3" s="57" t="inlineStr">
        <is>
          <t>Practical Title</t>
        </is>
      </c>
      <c r="E3" s="57" t="inlineStr">
        <is>
          <t>Applicability</t>
        </is>
      </c>
      <c r="F3" s="57" t="inlineStr">
        <is>
          <t>Core Tested Skills &amp; Variables</t>
        </is>
      </c>
      <c r="G3" s="57" t="inlineStr">
        <is>
          <t>Typical Exam Questions (15% Weighting)</t>
        </is>
      </c>
      <c r="H3" s="31" t="inlineStr">
        <is>
          <t>Zayan Ahmed
(Completion)</t>
        </is>
      </c>
      <c r="I3" s="31" t="inlineStr">
        <is>
          <t>Sara Khan
(Completion)</t>
        </is>
      </c>
      <c r="J3" s="31" t="inlineStr">
        <is>
          <t>Marcus Taylor
(Completion)</t>
        </is>
      </c>
      <c r="K3" s="31" t="inlineStr">
        <is>
          <t>Aaliyah Patel
(Completion)</t>
        </is>
      </c>
      <c r="L3" s="31" t="inlineStr">
        <is>
          <t>Callum Wright
(Completion)</t>
        </is>
      </c>
      <c r="M3" s="31" t="inlineStr">
        <is>
          <t>Elana Popa
(Completion)</t>
        </is>
      </c>
      <c r="N3" s="31" t="inlineStr">
        <is>
          <t>Bilal Wahid
(Completion)</t>
        </is>
      </c>
      <c r="O3" s="31" t="inlineStr">
        <is>
          <t>Hassan Malik
(Completion)</t>
        </is>
      </c>
      <c r="P3" s="31" t="inlineStr">
        <is>
          <t>Bilal Wahid
(Completion)</t>
        </is>
      </c>
    </row>
    <row r="4" ht="22" customHeight="1" s="52">
      <c r="A4" s="26" t="inlineStr">
        <is>
          <t>Biology</t>
        </is>
      </c>
      <c r="B4" s="27" t="inlineStr">
        <is>
          <t>Bio RP1</t>
        </is>
      </c>
      <c r="C4" s="27" t="inlineStr">
        <is>
          <t>Paper 1</t>
        </is>
      </c>
      <c r="D4" s="28" t="inlineStr">
        <is>
          <t>Microscopy</t>
        </is>
      </c>
      <c r="E4" s="27" t="inlineStr">
        <is>
          <t>Both (Trilogy &amp; Triple)</t>
        </is>
      </c>
      <c r="F4" s="28" t="inlineStr">
        <is>
          <t>Slide prep (iodine/methylene blue), magnification equation M=I/A, scale bars</t>
        </is>
      </c>
      <c r="G4" s="28" t="inlineStr">
        <is>
          <t>Calculating magnification, resolving power, labeling cell structures</t>
        </is>
      </c>
      <c r="H4" s="34" t="inlineStr">
        <is>
          <t>Completed</t>
        </is>
      </c>
      <c r="I4" s="34" t="inlineStr">
        <is>
          <t>Completed</t>
        </is>
      </c>
      <c r="J4" s="34" t="inlineStr">
        <is>
          <t>Completed</t>
        </is>
      </c>
      <c r="K4" s="34" t="inlineStr">
        <is>
          <t>Completed</t>
        </is>
      </c>
      <c r="L4" s="34" t="inlineStr">
        <is>
          <t>Completed</t>
        </is>
      </c>
      <c r="M4" s="34" t="inlineStr">
        <is>
          <t>Outstanding</t>
        </is>
      </c>
      <c r="N4" s="34" t="inlineStr">
        <is>
          <t>Outstanding</t>
        </is>
      </c>
      <c r="O4" s="34" t="inlineStr">
        <is>
          <t>Completed</t>
        </is>
      </c>
    </row>
    <row r="5" ht="22" customHeight="1" s="52">
      <c r="A5" s="26" t="inlineStr">
        <is>
          <t>Biology</t>
        </is>
      </c>
      <c r="B5" s="10" t="inlineStr">
        <is>
          <t>Bio RP2</t>
        </is>
      </c>
      <c r="C5" s="10" t="inlineStr">
        <is>
          <t>Paper 1</t>
        </is>
      </c>
      <c r="D5" s="11" t="inlineStr">
        <is>
          <t>Microbiology</t>
        </is>
      </c>
      <c r="E5" s="10" t="inlineStr">
        <is>
          <t>Triple Only</t>
        </is>
      </c>
      <c r="F5" s="11" t="inlineStr">
        <is>
          <t>Aseptic technique, nutrient agar, incubation temp (25°C max in school)</t>
        </is>
      </c>
      <c r="G5" s="11" t="inlineStr">
        <is>
          <t>Zone of inhibition area (pi*r^2), comparing antiseptic effectiveness</t>
        </is>
      </c>
      <c r="H5" s="35" t="inlineStr">
        <is>
          <t>N/A</t>
        </is>
      </c>
      <c r="I5" s="34" t="inlineStr">
        <is>
          <t>Completed</t>
        </is>
      </c>
      <c r="J5" s="35" t="inlineStr">
        <is>
          <t>N/A</t>
        </is>
      </c>
      <c r="K5" s="35" t="inlineStr">
        <is>
          <t>N/A</t>
        </is>
      </c>
      <c r="L5" s="34" t="inlineStr">
        <is>
          <t>Completed</t>
        </is>
      </c>
      <c r="M5" s="35" t="inlineStr">
        <is>
          <t>N/A</t>
        </is>
      </c>
      <c r="N5" s="35" t="inlineStr">
        <is>
          <t>N/A</t>
        </is>
      </c>
      <c r="O5" s="34" t="inlineStr">
        <is>
          <t>Completed</t>
        </is>
      </c>
    </row>
    <row r="6" ht="22" customHeight="1" s="52">
      <c r="A6" s="26" t="inlineStr">
        <is>
          <t>Biology</t>
        </is>
      </c>
      <c r="B6" s="27" t="inlineStr">
        <is>
          <t>Bio RP3</t>
        </is>
      </c>
      <c r="C6" s="27" t="inlineStr">
        <is>
          <t>Paper 1</t>
        </is>
      </c>
      <c r="D6" s="28" t="inlineStr">
        <is>
          <t>Osmosis</t>
        </is>
      </c>
      <c r="E6" s="27" t="inlineStr">
        <is>
          <t>Both (Trilogy &amp; Triple)</t>
        </is>
      </c>
      <c r="F6" s="28" t="inlineStr">
        <is>
          <t>Potato cylinders, sucrose conc, drying cylinders, % change in mass graph</t>
        </is>
      </c>
      <c r="G6" s="28" t="inlineStr">
        <is>
          <t>Finding isotonic point at 0% mass change, identifying anomalous repeats</t>
        </is>
      </c>
      <c r="H6" s="34" t="inlineStr">
        <is>
          <t>Completed</t>
        </is>
      </c>
      <c r="I6" s="34" t="inlineStr">
        <is>
          <t>Completed</t>
        </is>
      </c>
      <c r="J6" s="34" t="inlineStr">
        <is>
          <t>Outstanding</t>
        </is>
      </c>
      <c r="K6" s="34" t="inlineStr">
        <is>
          <t>Completed</t>
        </is>
      </c>
      <c r="L6" s="34" t="inlineStr">
        <is>
          <t>Completed</t>
        </is>
      </c>
      <c r="M6" s="34" t="inlineStr">
        <is>
          <t>Outstanding</t>
        </is>
      </c>
      <c r="N6" s="34" t="inlineStr">
        <is>
          <t>Outstanding</t>
        </is>
      </c>
      <c r="O6" s="34" t="inlineStr">
        <is>
          <t>Completed</t>
        </is>
      </c>
    </row>
    <row r="7" ht="22" customHeight="1" s="52">
      <c r="A7" s="26" t="inlineStr">
        <is>
          <t>Biology</t>
        </is>
      </c>
      <c r="B7" s="10" t="inlineStr">
        <is>
          <t>Bio RP4</t>
        </is>
      </c>
      <c r="C7" s="10" t="inlineStr">
        <is>
          <t>Paper 1</t>
        </is>
      </c>
      <c r="D7" s="11" t="inlineStr">
        <is>
          <t>Food Tests</t>
        </is>
      </c>
      <c r="E7" s="10" t="inlineStr">
        <is>
          <t>Both (Trilogy &amp; Triple)</t>
        </is>
      </c>
      <c r="F7" s="11" t="inlineStr">
        <is>
          <t>Benedict's (sugar/water bath), Iodine (starch), Biuret (protein), Sudan III (lipids)</t>
        </is>
      </c>
      <c r="G7" s="11" t="inlineStr">
        <is>
          <t>Qualitative colour changes, false positives, safety hazards</t>
        </is>
      </c>
      <c r="H7" s="34" t="inlineStr">
        <is>
          <t>Completed</t>
        </is>
      </c>
      <c r="I7" s="34" t="inlineStr">
        <is>
          <t>Completed</t>
        </is>
      </c>
      <c r="J7" s="34" t="inlineStr">
        <is>
          <t>Completed</t>
        </is>
      </c>
      <c r="K7" s="34" t="inlineStr">
        <is>
          <t>Completed</t>
        </is>
      </c>
      <c r="L7" s="34" t="inlineStr">
        <is>
          <t>Completed</t>
        </is>
      </c>
      <c r="M7" s="34" t="inlineStr">
        <is>
          <t>Outstanding</t>
        </is>
      </c>
      <c r="N7" s="34" t="inlineStr">
        <is>
          <t>Completed</t>
        </is>
      </c>
      <c r="O7" s="34" t="inlineStr">
        <is>
          <t>Completed</t>
        </is>
      </c>
    </row>
    <row r="8" ht="22" customHeight="1" s="52">
      <c r="A8" s="26" t="inlineStr">
        <is>
          <t>Biology</t>
        </is>
      </c>
      <c r="B8" s="27" t="inlineStr">
        <is>
          <t>Bio RP5</t>
        </is>
      </c>
      <c r="C8" s="27" t="inlineStr">
        <is>
          <t>Paper 1</t>
        </is>
      </c>
      <c r="D8" s="28" t="inlineStr">
        <is>
          <t>Enzymes</t>
        </is>
      </c>
      <c r="E8" s="27" t="inlineStr">
        <is>
          <t>Both (Trilogy &amp; Triple)</t>
        </is>
      </c>
      <c r="F8" s="28" t="inlineStr">
        <is>
          <t>Amylase, starch, buffer solutions (pH 3-9), spotting tile with iodine</t>
        </is>
      </c>
      <c r="G8" s="28" t="inlineStr">
        <is>
          <t>Calculating reaction rate (1/time), explaining denaturation at extreme pH</t>
        </is>
      </c>
      <c r="H8" s="34" t="inlineStr">
        <is>
          <t>Completed</t>
        </is>
      </c>
      <c r="I8" s="34" t="inlineStr">
        <is>
          <t>Completed</t>
        </is>
      </c>
      <c r="J8" s="34" t="inlineStr">
        <is>
          <t>Completed</t>
        </is>
      </c>
      <c r="K8" s="34" t="inlineStr">
        <is>
          <t>Completed</t>
        </is>
      </c>
      <c r="L8" s="34" t="inlineStr">
        <is>
          <t>Completed</t>
        </is>
      </c>
      <c r="M8" s="34" t="inlineStr">
        <is>
          <t>Outstanding</t>
        </is>
      </c>
      <c r="N8" s="34" t="inlineStr">
        <is>
          <t>Outstanding</t>
        </is>
      </c>
      <c r="O8" s="34" t="inlineStr">
        <is>
          <t>Completed</t>
        </is>
      </c>
    </row>
    <row r="9" ht="22" customHeight="1" s="52">
      <c r="A9" s="26" t="inlineStr">
        <is>
          <t>Biology</t>
        </is>
      </c>
      <c r="B9" s="10" t="inlineStr">
        <is>
          <t>Bio RP6</t>
        </is>
      </c>
      <c r="C9" s="10" t="inlineStr">
        <is>
          <t>Paper 1</t>
        </is>
      </c>
      <c r="D9" s="11" t="inlineStr">
        <is>
          <t>Photosynthesis</t>
        </is>
      </c>
      <c r="E9" s="10" t="inlineStr">
        <is>
          <t>Both (Trilogy &amp; Triple)</t>
        </is>
      </c>
      <c r="F9" s="11" t="inlineStr">
        <is>
          <t>Pondweed (Elodea), LED lamp distance, sodium hydrogencarbonate, gas syringe</t>
        </is>
      </c>
      <c r="G9" s="11" t="inlineStr">
        <is>
          <t>Inverse square law (1/d^2), limiting factors, light intensity vs distance</t>
        </is>
      </c>
      <c r="H9" s="34" t="inlineStr">
        <is>
          <t>Completed</t>
        </is>
      </c>
      <c r="I9" s="34" t="inlineStr">
        <is>
          <t>Completed</t>
        </is>
      </c>
      <c r="J9" s="34" t="inlineStr">
        <is>
          <t>Completed</t>
        </is>
      </c>
      <c r="K9" s="34" t="inlineStr">
        <is>
          <t>Completed</t>
        </is>
      </c>
      <c r="L9" s="34" t="inlineStr">
        <is>
          <t>Completed</t>
        </is>
      </c>
      <c r="M9" s="34" t="inlineStr">
        <is>
          <t>Outstanding</t>
        </is>
      </c>
      <c r="N9" s="34" t="inlineStr">
        <is>
          <t>Outstanding</t>
        </is>
      </c>
      <c r="O9" s="34" t="inlineStr">
        <is>
          <t>Completed</t>
        </is>
      </c>
    </row>
    <row r="10" ht="22" customHeight="1" s="52">
      <c r="A10" s="26" t="inlineStr">
        <is>
          <t>Biology</t>
        </is>
      </c>
      <c r="B10" s="27" t="inlineStr">
        <is>
          <t>Bio RP7</t>
        </is>
      </c>
      <c r="C10" s="27" t="inlineStr">
        <is>
          <t>Paper 2</t>
        </is>
      </c>
      <c r="D10" s="28" t="inlineStr">
        <is>
          <t>Reaction Time</t>
        </is>
      </c>
      <c r="E10" s="27" t="inlineStr">
        <is>
          <t>Both (Trilogy &amp; Triple)</t>
        </is>
      </c>
      <c r="F10" s="28" t="inlineStr">
        <is>
          <t>Ruler-drop test, dominant vs non-dominant hand, caffeine/distraction factor</t>
        </is>
      </c>
      <c r="G10" s="28" t="inlineStr">
        <is>
          <t>Calculating mean reaction time, converting drop distance to ms, control variables</t>
        </is>
      </c>
      <c r="H10" s="34" t="inlineStr">
        <is>
          <t>Completed</t>
        </is>
      </c>
      <c r="I10" s="34" t="inlineStr">
        <is>
          <t>Completed</t>
        </is>
      </c>
      <c r="J10" s="34" t="inlineStr">
        <is>
          <t>Outstanding</t>
        </is>
      </c>
      <c r="K10" s="34" t="inlineStr">
        <is>
          <t>Outstanding</t>
        </is>
      </c>
      <c r="L10" s="34" t="inlineStr">
        <is>
          <t>Completed</t>
        </is>
      </c>
      <c r="M10" s="34" t="inlineStr">
        <is>
          <t>Outstanding</t>
        </is>
      </c>
      <c r="N10" s="34" t="inlineStr">
        <is>
          <t>Outstanding</t>
        </is>
      </c>
      <c r="O10" s="34" t="inlineStr">
        <is>
          <t>Completed</t>
        </is>
      </c>
    </row>
    <row r="11" ht="22" customHeight="1" s="52">
      <c r="A11" s="26" t="inlineStr">
        <is>
          <t>Biology</t>
        </is>
      </c>
      <c r="B11" s="10" t="inlineStr">
        <is>
          <t>Bio RP8</t>
        </is>
      </c>
      <c r="C11" s="10" t="inlineStr">
        <is>
          <t>Paper 2</t>
        </is>
      </c>
      <c r="D11" s="11" t="inlineStr">
        <is>
          <t>Plant Responses</t>
        </is>
      </c>
      <c r="E11" s="10" t="inlineStr">
        <is>
          <t>Triple Only</t>
        </is>
      </c>
      <c r="F11" s="11" t="inlineStr">
        <is>
          <t>Mustard/cress seeds, unilateral light, gravity (Petri dish on side)</t>
        </is>
      </c>
      <c r="G11" s="11" t="inlineStr">
        <is>
          <t>Auxin distribution, phototropism vs gravitropism explanations</t>
        </is>
      </c>
      <c r="H11" s="35" t="inlineStr">
        <is>
          <t>N/A</t>
        </is>
      </c>
      <c r="I11" s="34" t="inlineStr">
        <is>
          <t>Completed</t>
        </is>
      </c>
      <c r="J11" s="35" t="inlineStr">
        <is>
          <t>N/A</t>
        </is>
      </c>
      <c r="K11" s="35" t="inlineStr">
        <is>
          <t>N/A</t>
        </is>
      </c>
      <c r="L11" s="34" t="inlineStr">
        <is>
          <t>Outstanding</t>
        </is>
      </c>
      <c r="M11" s="35" t="inlineStr">
        <is>
          <t>N/A</t>
        </is>
      </c>
      <c r="N11" s="35" t="inlineStr">
        <is>
          <t>N/A</t>
        </is>
      </c>
      <c r="O11" s="34" t="inlineStr">
        <is>
          <t>Completed</t>
        </is>
      </c>
    </row>
    <row r="12" ht="22" customHeight="1" s="52">
      <c r="A12" s="26" t="inlineStr">
        <is>
          <t>Biology</t>
        </is>
      </c>
      <c r="B12" s="27" t="inlineStr">
        <is>
          <t>Bio RP9</t>
        </is>
      </c>
      <c r="C12" s="27" t="inlineStr">
        <is>
          <t>Paper 2</t>
        </is>
      </c>
      <c r="D12" s="28" t="inlineStr">
        <is>
          <t>Field Investigations</t>
        </is>
      </c>
      <c r="E12" s="27" t="inlineStr">
        <is>
          <t>Both (Trilogy &amp; Triple)</t>
        </is>
      </c>
      <c r="F12" s="28" t="inlineStr">
        <is>
          <t>Random sampling with 0.25m^2 quadrats, belt transect across gradient</t>
        </is>
      </c>
      <c r="G12" s="28" t="inlineStr">
        <is>
          <t>Estimating population size ((Area/sampled)*count), abiotic factors</t>
        </is>
      </c>
      <c r="H12" s="34" t="inlineStr">
        <is>
          <t>Outstanding</t>
        </is>
      </c>
      <c r="I12" s="34" t="inlineStr">
        <is>
          <t>Completed</t>
        </is>
      </c>
      <c r="J12" s="34" t="inlineStr">
        <is>
          <t>Outstanding</t>
        </is>
      </c>
      <c r="K12" s="34" t="inlineStr">
        <is>
          <t>Outstanding</t>
        </is>
      </c>
      <c r="L12" s="34" t="inlineStr">
        <is>
          <t>Outstanding</t>
        </is>
      </c>
      <c r="M12" s="34" t="inlineStr">
        <is>
          <t>Outstanding</t>
        </is>
      </c>
      <c r="N12" s="34" t="inlineStr">
        <is>
          <t>Outstanding</t>
        </is>
      </c>
      <c r="O12" s="34" t="inlineStr">
        <is>
          <t>Completed</t>
        </is>
      </c>
    </row>
    <row r="13" ht="22" customHeight="1" s="52">
      <c r="A13" s="26" t="inlineStr">
        <is>
          <t>Biology</t>
        </is>
      </c>
      <c r="B13" s="10" t="inlineStr">
        <is>
          <t>Bio RP10</t>
        </is>
      </c>
      <c r="C13" s="10" t="inlineStr">
        <is>
          <t>Paper 2</t>
        </is>
      </c>
      <c r="D13" s="11" t="inlineStr">
        <is>
          <t>Decay</t>
        </is>
      </c>
      <c r="E13" s="10" t="inlineStr">
        <is>
          <t>Triple Only</t>
        </is>
      </c>
      <c r="F13" s="11" t="inlineStr">
        <is>
          <t>Milk, phenolphthalein, sodium carbonate, lipase, water bath temperatures</t>
        </is>
      </c>
      <c r="G13" s="11" t="inlineStr">
        <is>
          <t>Enzyme kinetics, temperature coefficient, measuring time to pink-to-colourless</t>
        </is>
      </c>
      <c r="H13" s="35" t="inlineStr">
        <is>
          <t>N/A</t>
        </is>
      </c>
      <c r="I13" s="34" t="inlineStr">
        <is>
          <t>Completed</t>
        </is>
      </c>
      <c r="J13" s="35" t="inlineStr">
        <is>
          <t>N/A</t>
        </is>
      </c>
      <c r="K13" s="35" t="inlineStr">
        <is>
          <t>N/A</t>
        </is>
      </c>
      <c r="L13" s="34" t="inlineStr">
        <is>
          <t>Outstanding</t>
        </is>
      </c>
      <c r="M13" s="35" t="inlineStr">
        <is>
          <t>N/A</t>
        </is>
      </c>
      <c r="N13" s="35" t="inlineStr">
        <is>
          <t>N/A</t>
        </is>
      </c>
      <c r="O13" s="34" t="inlineStr">
        <is>
          <t>Completed</t>
        </is>
      </c>
    </row>
    <row r="14" ht="22" customHeight="1" s="52">
      <c r="A14" s="29" t="inlineStr">
        <is>
          <t>Chemistry</t>
        </is>
      </c>
      <c r="B14" s="27" t="inlineStr">
        <is>
          <t>Chem RP1</t>
        </is>
      </c>
      <c r="C14" s="27" t="inlineStr">
        <is>
          <t>Paper 1</t>
        </is>
      </c>
      <c r="D14" s="28" t="inlineStr">
        <is>
          <t>Making Soluble Salts</t>
        </is>
      </c>
      <c r="E14" s="27" t="inlineStr">
        <is>
          <t>Both (Trilogy &amp; Triple)</t>
        </is>
      </c>
      <c r="F14" s="28" t="inlineStr">
        <is>
          <t>Sulfuric acid + CuO/excess base, warming, filtration, evaporation basin crystallization</t>
        </is>
      </c>
      <c r="G14" s="28" t="inlineStr">
        <is>
          <t>6-mark method writing, reasons for excess base, crystallization safety</t>
        </is>
      </c>
      <c r="H14" s="34" t="inlineStr">
        <is>
          <t>Completed</t>
        </is>
      </c>
      <c r="I14" s="34" t="inlineStr">
        <is>
          <t>Completed</t>
        </is>
      </c>
      <c r="J14" s="34" t="inlineStr">
        <is>
          <t>Completed</t>
        </is>
      </c>
      <c r="K14" s="34" t="inlineStr">
        <is>
          <t>Completed</t>
        </is>
      </c>
      <c r="L14" s="34" t="inlineStr">
        <is>
          <t>Completed</t>
        </is>
      </c>
      <c r="M14" s="34" t="inlineStr">
        <is>
          <t>Outstanding</t>
        </is>
      </c>
      <c r="N14" s="34" t="inlineStr">
        <is>
          <t>Completed</t>
        </is>
      </c>
      <c r="O14" s="34" t="inlineStr">
        <is>
          <t>Completed</t>
        </is>
      </c>
    </row>
    <row r="15" ht="22" customHeight="1" s="52">
      <c r="A15" s="29" t="inlineStr">
        <is>
          <t>Chemistry</t>
        </is>
      </c>
      <c r="B15" s="10" t="inlineStr">
        <is>
          <t>Chem RP2</t>
        </is>
      </c>
      <c r="C15" s="10" t="inlineStr">
        <is>
          <t>Paper 1</t>
        </is>
      </c>
      <c r="D15" s="11" t="inlineStr">
        <is>
          <t>Neutralisation (Titration)</t>
        </is>
      </c>
      <c r="E15" s="10" t="inlineStr">
        <is>
          <t>Triple Only</t>
        </is>
      </c>
      <c r="F15" s="11" t="inlineStr">
        <is>
          <t>Burette, volumetric pipette, concordant results (within 0.10 cm^3), indicator</t>
        </is>
      </c>
      <c r="G15" s="11" t="inlineStr">
        <is>
          <t>Titration stoichiometry, calculating unknown conc in mol/dm^3 or g/dm^3</t>
        </is>
      </c>
      <c r="H15" s="35" t="inlineStr">
        <is>
          <t>N/A</t>
        </is>
      </c>
      <c r="I15" s="34" t="inlineStr">
        <is>
          <t>Completed</t>
        </is>
      </c>
      <c r="J15" s="35" t="inlineStr">
        <is>
          <t>N/A</t>
        </is>
      </c>
      <c r="K15" s="35" t="inlineStr">
        <is>
          <t>N/A</t>
        </is>
      </c>
      <c r="L15" s="34" t="inlineStr">
        <is>
          <t>Completed</t>
        </is>
      </c>
      <c r="M15" s="35" t="inlineStr">
        <is>
          <t>N/A</t>
        </is>
      </c>
      <c r="N15" s="35" t="inlineStr">
        <is>
          <t>N/A</t>
        </is>
      </c>
      <c r="O15" s="34" t="inlineStr">
        <is>
          <t>Completed</t>
        </is>
      </c>
    </row>
    <row r="16" ht="22" customHeight="1" s="52">
      <c r="A16" s="29" t="inlineStr">
        <is>
          <t>Chemistry</t>
        </is>
      </c>
      <c r="B16" s="27" t="inlineStr">
        <is>
          <t>Chem RP3</t>
        </is>
      </c>
      <c r="C16" s="27" t="inlineStr">
        <is>
          <t>Paper 1</t>
        </is>
      </c>
      <c r="D16" s="28" t="inlineStr">
        <is>
          <t>Electrolysis</t>
        </is>
      </c>
      <c r="E16" s="27" t="inlineStr">
        <is>
          <t>Both (Trilogy &amp; Triple)</t>
        </is>
      </c>
      <c r="F16" s="28" t="inlineStr">
        <is>
          <t>Aqueous CuCl2, NaCl, inert graphite electrodes, test tubes for gas collection</t>
        </is>
      </c>
      <c r="G16" s="28" t="inlineStr">
        <is>
          <t>Identifying anode (halogen/oxygen) &amp; cathode (Cu/H2) products, half equations</t>
        </is>
      </c>
      <c r="H16" s="34" t="inlineStr">
        <is>
          <t>Completed</t>
        </is>
      </c>
      <c r="I16" s="34" t="inlineStr">
        <is>
          <t>Completed</t>
        </is>
      </c>
      <c r="J16" s="34" t="inlineStr">
        <is>
          <t>Completed</t>
        </is>
      </c>
      <c r="K16" s="34" t="inlineStr">
        <is>
          <t>Completed</t>
        </is>
      </c>
      <c r="L16" s="34" t="inlineStr">
        <is>
          <t>Completed</t>
        </is>
      </c>
      <c r="M16" s="34" t="inlineStr">
        <is>
          <t>Outstanding</t>
        </is>
      </c>
      <c r="N16" s="34" t="inlineStr">
        <is>
          <t>Outstanding</t>
        </is>
      </c>
      <c r="O16" s="34" t="inlineStr">
        <is>
          <t>Completed</t>
        </is>
      </c>
    </row>
    <row r="17" ht="22" customHeight="1" s="52">
      <c r="A17" s="29" t="inlineStr">
        <is>
          <t>Chemistry</t>
        </is>
      </c>
      <c r="B17" s="10" t="inlineStr">
        <is>
          <t>Chem RP4</t>
        </is>
      </c>
      <c r="C17" s="10" t="inlineStr">
        <is>
          <t>Paper 1</t>
        </is>
      </c>
      <c r="D17" s="11" t="inlineStr">
        <is>
          <t>Temperature Changes</t>
        </is>
      </c>
      <c r="E17" s="10" t="inlineStr">
        <is>
          <t>Both (Trilogy &amp; Triple)</t>
        </is>
      </c>
      <c r="F17" s="11" t="inlineStr">
        <is>
          <t>Polystyrene cup, lid, thermometer, acid-base neutralization or displacement</t>
        </is>
      </c>
      <c r="G17" s="11" t="inlineStr">
        <is>
          <t>Exo vs endothermic profiles, calculating temperature change, minimizing heat loss</t>
        </is>
      </c>
      <c r="H17" s="34" t="inlineStr">
        <is>
          <t>Completed</t>
        </is>
      </c>
      <c r="I17" s="34" t="inlineStr">
        <is>
          <t>Completed</t>
        </is>
      </c>
      <c r="J17" s="34" t="inlineStr">
        <is>
          <t>Completed</t>
        </is>
      </c>
      <c r="K17" s="34" t="inlineStr">
        <is>
          <t>Completed</t>
        </is>
      </c>
      <c r="L17" s="34" t="inlineStr">
        <is>
          <t>Completed</t>
        </is>
      </c>
      <c r="M17" s="34" t="inlineStr">
        <is>
          <t>Outstanding</t>
        </is>
      </c>
      <c r="N17" s="34" t="inlineStr">
        <is>
          <t>Outstanding</t>
        </is>
      </c>
      <c r="O17" s="34" t="inlineStr">
        <is>
          <t>Completed</t>
        </is>
      </c>
    </row>
    <row r="18" ht="22" customHeight="1" s="52">
      <c r="A18" s="29" t="inlineStr">
        <is>
          <t>Chemistry</t>
        </is>
      </c>
      <c r="B18" s="27" t="inlineStr">
        <is>
          <t>Chem RP5</t>
        </is>
      </c>
      <c r="C18" s="27" t="inlineStr">
        <is>
          <t>Paper 2</t>
        </is>
      </c>
      <c r="D18" s="28" t="inlineStr">
        <is>
          <t>Rates of Reaction</t>
        </is>
      </c>
      <c r="E18" s="27" t="inlineStr">
        <is>
          <t>Both (Trilogy &amp; Triple)</t>
        </is>
      </c>
      <c r="F18" s="28" t="inlineStr">
        <is>
          <t>Method A: Disappearing cross (turbidity); Method B: Gas syringe/mass loss</t>
        </is>
      </c>
      <c r="G18" s="28" t="inlineStr">
        <is>
          <t>Tangents on concentration-time graphs, rate calculation, collision theory</t>
        </is>
      </c>
      <c r="H18" s="34" t="inlineStr">
        <is>
          <t>Outstanding</t>
        </is>
      </c>
      <c r="I18" s="34" t="inlineStr">
        <is>
          <t>Completed</t>
        </is>
      </c>
      <c r="J18" s="34" t="inlineStr">
        <is>
          <t>Outstanding</t>
        </is>
      </c>
      <c r="K18" s="34" t="inlineStr">
        <is>
          <t>Outstanding</t>
        </is>
      </c>
      <c r="L18" s="34" t="inlineStr">
        <is>
          <t>Outstanding</t>
        </is>
      </c>
      <c r="M18" s="34" t="inlineStr">
        <is>
          <t>Outstanding</t>
        </is>
      </c>
      <c r="N18" s="34" t="inlineStr">
        <is>
          <t>Outstanding</t>
        </is>
      </c>
      <c r="O18" s="34" t="inlineStr">
        <is>
          <t>Completed</t>
        </is>
      </c>
    </row>
    <row r="19" ht="22" customHeight="1" s="52">
      <c r="A19" s="29" t="inlineStr">
        <is>
          <t>Chemistry</t>
        </is>
      </c>
      <c r="B19" s="10" t="inlineStr">
        <is>
          <t>Chem RP6</t>
        </is>
      </c>
      <c r="C19" s="10" t="inlineStr">
        <is>
          <t>Paper 2</t>
        </is>
      </c>
      <c r="D19" s="11" t="inlineStr">
        <is>
          <t>Chromatography</t>
        </is>
      </c>
      <c r="E19" s="10" t="inlineStr">
        <is>
          <t>Both (Trilogy &amp; Triple)</t>
        </is>
      </c>
      <c r="F19" s="11" t="inlineStr">
        <is>
          <t>Stationary vs mobile phase, pencil origin line, solvent level, Rf calculation</t>
        </is>
      </c>
      <c r="G19" s="11" t="inlineStr">
        <is>
          <t>Rf = distance moved by substance / solvent front; pure vs impure mixtures</t>
        </is>
      </c>
      <c r="H19" s="34" t="inlineStr">
        <is>
          <t>Outstanding</t>
        </is>
      </c>
      <c r="I19" s="34" t="inlineStr">
        <is>
          <t>Completed</t>
        </is>
      </c>
      <c r="J19" s="34" t="inlineStr">
        <is>
          <t>Outstanding</t>
        </is>
      </c>
      <c r="K19" s="34" t="inlineStr">
        <is>
          <t>Outstanding</t>
        </is>
      </c>
      <c r="L19" s="34" t="inlineStr">
        <is>
          <t>Outstanding</t>
        </is>
      </c>
      <c r="M19" s="34" t="inlineStr">
        <is>
          <t>Outstanding</t>
        </is>
      </c>
      <c r="N19" s="34" t="inlineStr">
        <is>
          <t>Outstanding</t>
        </is>
      </c>
      <c r="O19" s="34" t="inlineStr">
        <is>
          <t>Completed</t>
        </is>
      </c>
    </row>
    <row r="20" ht="22" customHeight="1" s="52">
      <c r="A20" s="29" t="inlineStr">
        <is>
          <t>Chemistry</t>
        </is>
      </c>
      <c r="B20" s="27" t="inlineStr">
        <is>
          <t>Chem RP7</t>
        </is>
      </c>
      <c r="C20" s="27" t="inlineStr">
        <is>
          <t>Paper 2</t>
        </is>
      </c>
      <c r="D20" s="28" t="inlineStr">
        <is>
          <t>Identifying Ions</t>
        </is>
      </c>
      <c r="E20" s="27" t="inlineStr">
        <is>
          <t>Triple Only</t>
        </is>
      </c>
      <c r="F20" s="28" t="inlineStr">
        <is>
          <t>Flame tests, NaOH precipitate tests (Cu2+, Fe2+, Fe3+, Al3+), AgNO3 &amp; BaCl2 tests</t>
        </is>
      </c>
      <c r="G20" s="28" t="inlineStr">
        <is>
          <t>Precipitation equations, distinguishing Al3+ (redissolves in excess NaOH)</t>
        </is>
      </c>
      <c r="H20" s="35" t="inlineStr">
        <is>
          <t>N/A</t>
        </is>
      </c>
      <c r="I20" s="34" t="inlineStr">
        <is>
          <t>Completed</t>
        </is>
      </c>
      <c r="J20" s="35" t="inlineStr">
        <is>
          <t>N/A</t>
        </is>
      </c>
      <c r="K20" s="35" t="inlineStr">
        <is>
          <t>N/A</t>
        </is>
      </c>
      <c r="L20" s="34" t="inlineStr">
        <is>
          <t>Outstanding</t>
        </is>
      </c>
      <c r="M20" s="35" t="inlineStr">
        <is>
          <t>N/A</t>
        </is>
      </c>
      <c r="N20" s="35" t="inlineStr">
        <is>
          <t>N/A</t>
        </is>
      </c>
      <c r="O20" s="34" t="inlineStr">
        <is>
          <t>Completed</t>
        </is>
      </c>
    </row>
    <row r="21" ht="22" customHeight="1" s="52">
      <c r="A21" s="29" t="inlineStr">
        <is>
          <t>Chemistry</t>
        </is>
      </c>
      <c r="B21" s="10" t="inlineStr">
        <is>
          <t>Chem RP8</t>
        </is>
      </c>
      <c r="C21" s="10" t="inlineStr">
        <is>
          <t>Paper 2</t>
        </is>
      </c>
      <c r="D21" s="11" t="inlineStr">
        <is>
          <t>Water Purification</t>
        </is>
      </c>
      <c r="E21" s="10" t="inlineStr">
        <is>
          <t>Both (Trilogy &amp; Triple)</t>
        </is>
      </c>
      <c r="F21" s="11" t="inlineStr">
        <is>
          <t>Testing pH, evaporating to find dissolved solids, simple distillation setup</t>
        </is>
      </c>
      <c r="G21" s="11" t="inlineStr">
        <is>
          <t>Distillation apparatus labeling, potable water vs pure water definitions</t>
        </is>
      </c>
      <c r="H21" s="34" t="inlineStr">
        <is>
          <t>Outstanding</t>
        </is>
      </c>
      <c r="I21" s="34" t="inlineStr">
        <is>
          <t>Completed</t>
        </is>
      </c>
      <c r="J21" s="34" t="inlineStr">
        <is>
          <t>Outstanding</t>
        </is>
      </c>
      <c r="K21" s="34" t="inlineStr">
        <is>
          <t>Outstanding</t>
        </is>
      </c>
      <c r="L21" s="34" t="inlineStr">
        <is>
          <t>Outstanding</t>
        </is>
      </c>
      <c r="M21" s="34" t="inlineStr">
        <is>
          <t>Outstanding</t>
        </is>
      </c>
      <c r="N21" s="34" t="inlineStr">
        <is>
          <t>Outstanding</t>
        </is>
      </c>
      <c r="O21" s="34" t="inlineStr">
        <is>
          <t>Completed</t>
        </is>
      </c>
    </row>
    <row r="22" ht="22" customHeight="1" s="52">
      <c r="A22" s="30" t="inlineStr">
        <is>
          <t>Physics</t>
        </is>
      </c>
      <c r="B22" s="27" t="inlineStr">
        <is>
          <t>Phys RP1</t>
        </is>
      </c>
      <c r="C22" s="27" t="inlineStr">
        <is>
          <t>Paper 1</t>
        </is>
      </c>
      <c r="D22" s="28" t="inlineStr">
        <is>
          <t>Specific Heat Capacity</t>
        </is>
      </c>
      <c r="E22" s="27" t="inlineStr">
        <is>
          <t>Both (Trilogy &amp; Triple)</t>
        </is>
      </c>
      <c r="F22" s="28" t="inlineStr">
        <is>
          <t>Metal blocks, immersion heater, thermometer, ammeter, voltmeter, insulation</t>
        </is>
      </c>
      <c r="G22" s="28" t="inlineStr">
        <is>
          <t>Rearranging delta E = m*c*delta theta, graph gradient (1/c), thermal loss errors</t>
        </is>
      </c>
      <c r="H22" s="34" t="inlineStr">
        <is>
          <t>Completed</t>
        </is>
      </c>
      <c r="I22" s="34" t="inlineStr">
        <is>
          <t>Completed</t>
        </is>
      </c>
      <c r="J22" s="34" t="inlineStr">
        <is>
          <t>Completed</t>
        </is>
      </c>
      <c r="K22" s="34" t="inlineStr">
        <is>
          <t>Completed</t>
        </is>
      </c>
      <c r="L22" s="34" t="inlineStr">
        <is>
          <t>Completed</t>
        </is>
      </c>
      <c r="M22" s="34" t="inlineStr">
        <is>
          <t>Completed</t>
        </is>
      </c>
      <c r="N22" s="34" t="inlineStr">
        <is>
          <t>Completed</t>
        </is>
      </c>
      <c r="O22" s="34" t="inlineStr">
        <is>
          <t>Completed</t>
        </is>
      </c>
      <c r="P22" s="34" t="inlineStr">
        <is>
          <t>Completed</t>
        </is>
      </c>
    </row>
    <row r="23" ht="22" customHeight="1" s="52">
      <c r="A23" s="30" t="inlineStr">
        <is>
          <t>Physics</t>
        </is>
      </c>
      <c r="B23" s="10" t="inlineStr">
        <is>
          <t>Phys RP2</t>
        </is>
      </c>
      <c r="C23" s="10" t="inlineStr">
        <is>
          <t>Paper 1</t>
        </is>
      </c>
      <c r="D23" s="11" t="inlineStr">
        <is>
          <t>Thermal Insulation</t>
        </is>
      </c>
      <c r="E23" s="10" t="inlineStr">
        <is>
          <t>Triple Only</t>
        </is>
      </c>
      <c r="F23" s="11" t="inlineStr">
        <is>
          <t>Beakers with different insulating materials/thickness, cooling curves</t>
        </is>
      </c>
      <c r="G23" s="11" t="inlineStr">
        <is>
          <t>Cooling rate comparisons, controlling start temperature and water volume</t>
        </is>
      </c>
      <c r="H23" s="35" t="inlineStr">
        <is>
          <t>N/A</t>
        </is>
      </c>
      <c r="I23" s="34" t="inlineStr">
        <is>
          <t>Completed</t>
        </is>
      </c>
      <c r="J23" s="35" t="inlineStr">
        <is>
          <t>N/A</t>
        </is>
      </c>
      <c r="K23" s="35" t="inlineStr">
        <is>
          <t>N/A</t>
        </is>
      </c>
      <c r="L23" s="34" t="inlineStr">
        <is>
          <t>Completed</t>
        </is>
      </c>
      <c r="M23" s="35" t="inlineStr">
        <is>
          <t>N/A</t>
        </is>
      </c>
      <c r="N23" s="35" t="inlineStr">
        <is>
          <t>N/A</t>
        </is>
      </c>
      <c r="O23" s="34" t="inlineStr">
        <is>
          <t>Completed</t>
        </is>
      </c>
    </row>
    <row r="24" ht="22" customHeight="1" s="52">
      <c r="A24" s="30" t="inlineStr">
        <is>
          <t>Physics</t>
        </is>
      </c>
      <c r="B24" s="27" t="inlineStr">
        <is>
          <t>Phys RP3</t>
        </is>
      </c>
      <c r="C24" s="27" t="inlineStr">
        <is>
          <t>Paper 1</t>
        </is>
      </c>
      <c r="D24" s="28" t="inlineStr">
        <is>
          <t>Resistance of a Wire</t>
        </is>
      </c>
      <c r="E24" s="27" t="inlineStr">
        <is>
          <t>Both (Trilogy &amp; Triple)</t>
        </is>
      </c>
      <c r="F24" s="28" t="inlineStr">
        <is>
          <t>Nichrome wire length on meter rule, crocodile clips, series/parallel combinations</t>
        </is>
      </c>
      <c r="G24" s="28" t="inlineStr">
        <is>
          <t>Direct proportionality of R and L, heating effect control (low current/switch off)</t>
        </is>
      </c>
      <c r="H24" s="34" t="inlineStr">
        <is>
          <t>Completed</t>
        </is>
      </c>
      <c r="I24" s="34" t="inlineStr">
        <is>
          <t>Completed</t>
        </is>
      </c>
      <c r="J24" s="34" t="inlineStr">
        <is>
          <t>Completed</t>
        </is>
      </c>
      <c r="K24" s="34" t="inlineStr">
        <is>
          <t>Completed</t>
        </is>
      </c>
      <c r="L24" s="34" t="inlineStr">
        <is>
          <t>Completed</t>
        </is>
      </c>
      <c r="M24" s="34" t="inlineStr">
        <is>
          <t>Outstanding</t>
        </is>
      </c>
      <c r="N24" s="34" t="inlineStr">
        <is>
          <t>Outstanding</t>
        </is>
      </c>
      <c r="O24" s="34" t="inlineStr">
        <is>
          <t>Completed</t>
        </is>
      </c>
    </row>
    <row r="25" ht="22" customHeight="1" s="52">
      <c r="A25" s="30" t="inlineStr">
        <is>
          <t>Physics</t>
        </is>
      </c>
      <c r="B25" s="10" t="inlineStr">
        <is>
          <t>Phys RP4</t>
        </is>
      </c>
      <c r="C25" s="10" t="inlineStr">
        <is>
          <t>Paper 1</t>
        </is>
      </c>
      <c r="D25" s="11" t="inlineStr">
        <is>
          <t>I-V Characteristics</t>
        </is>
      </c>
      <c r="E25" s="10" t="inlineStr">
        <is>
          <t>Both (Trilogy &amp; Triple)</t>
        </is>
      </c>
      <c r="F25" s="11" t="inlineStr">
        <is>
          <t>Filament bulb, ohmic resistor, diode, variable resistor, reversing battery polarity</t>
        </is>
      </c>
      <c r="G25" s="11" t="inlineStr">
        <is>
          <t>Explaining diode threshold, filament resistance increase due to ion vibration</t>
        </is>
      </c>
      <c r="H25" s="34" t="inlineStr">
        <is>
          <t>Completed</t>
        </is>
      </c>
      <c r="I25" s="34" t="inlineStr">
        <is>
          <t>Completed</t>
        </is>
      </c>
      <c r="J25" s="34" t="inlineStr">
        <is>
          <t>Completed</t>
        </is>
      </c>
      <c r="K25" s="34" t="inlineStr">
        <is>
          <t>Completed</t>
        </is>
      </c>
      <c r="L25" s="34" t="inlineStr">
        <is>
          <t>Completed</t>
        </is>
      </c>
      <c r="M25" s="34" t="inlineStr">
        <is>
          <t>Outstanding</t>
        </is>
      </c>
      <c r="N25" s="34" t="inlineStr">
        <is>
          <t>Outstanding</t>
        </is>
      </c>
      <c r="O25" s="34" t="inlineStr">
        <is>
          <t>Completed</t>
        </is>
      </c>
    </row>
    <row r="26" ht="22" customHeight="1" s="52">
      <c r="A26" s="30" t="inlineStr">
        <is>
          <t>Physics</t>
        </is>
      </c>
      <c r="B26" s="27" t="inlineStr">
        <is>
          <t>Phys RP5</t>
        </is>
      </c>
      <c r="C26" s="27" t="inlineStr">
        <is>
          <t>Paper 1</t>
        </is>
      </c>
      <c r="D26" s="28" t="inlineStr">
        <is>
          <t>Density of Materials</t>
        </is>
      </c>
      <c r="E26" s="27" t="inlineStr">
        <is>
          <t>Both (Trilogy &amp; Triple)</t>
        </is>
      </c>
      <c r="F26" s="28" t="inlineStr">
        <is>
          <t>Regular solids (ruler/balance), irregular solids (Eureka can/graduated cylinder)</t>
        </is>
      </c>
      <c r="G26" s="28" t="inlineStr">
        <is>
          <t>Density = mass/volume, meniscus reading, zero error on top-pan balance</t>
        </is>
      </c>
      <c r="H26" s="34" t="inlineStr">
        <is>
          <t>Completed</t>
        </is>
      </c>
      <c r="I26" s="34" t="inlineStr">
        <is>
          <t>Completed</t>
        </is>
      </c>
      <c r="J26" s="34" t="inlineStr">
        <is>
          <t>Completed</t>
        </is>
      </c>
      <c r="K26" s="34" t="inlineStr">
        <is>
          <t>Completed</t>
        </is>
      </c>
      <c r="L26" s="34" t="inlineStr">
        <is>
          <t>Completed</t>
        </is>
      </c>
      <c r="M26" s="34" t="inlineStr">
        <is>
          <t>Outstanding</t>
        </is>
      </c>
      <c r="N26" s="34" t="inlineStr">
        <is>
          <t>Completed</t>
        </is>
      </c>
      <c r="O26" s="34" t="inlineStr">
        <is>
          <t>Completed</t>
        </is>
      </c>
    </row>
    <row r="27" ht="22" customHeight="1" s="52">
      <c r="A27" s="30" t="inlineStr">
        <is>
          <t>Physics</t>
        </is>
      </c>
      <c r="B27" s="10" t="inlineStr">
        <is>
          <t>Phys RP6</t>
        </is>
      </c>
      <c r="C27" s="10" t="inlineStr">
        <is>
          <t>Paper 2</t>
        </is>
      </c>
      <c r="D27" s="11" t="inlineStr">
        <is>
          <t>Force and Extension</t>
        </is>
      </c>
      <c r="E27" s="10" t="inlineStr">
        <is>
          <t>Both (Trilogy &amp; Triple)</t>
        </is>
      </c>
      <c r="F27" s="11" t="inlineStr">
        <is>
          <t>Helical spring, clamp stand, slotted masses, meter rule, pointer</t>
        </is>
      </c>
      <c r="G27" s="11" t="inlineStr">
        <is>
          <t>Hooke's law (F=ke), spring constant gradient, elastic limit/proportionality</t>
        </is>
      </c>
      <c r="H27" s="34" t="inlineStr">
        <is>
          <t>Outstanding</t>
        </is>
      </c>
      <c r="I27" s="34" t="inlineStr">
        <is>
          <t>Completed</t>
        </is>
      </c>
      <c r="J27" s="34" t="inlineStr">
        <is>
          <t>Outstanding</t>
        </is>
      </c>
      <c r="K27" s="34" t="inlineStr">
        <is>
          <t>Outstanding</t>
        </is>
      </c>
      <c r="L27" s="34" t="inlineStr">
        <is>
          <t>Completed</t>
        </is>
      </c>
      <c r="M27" s="34" t="inlineStr">
        <is>
          <t>Outstanding</t>
        </is>
      </c>
      <c r="N27" s="34" t="inlineStr">
        <is>
          <t>Completed</t>
        </is>
      </c>
      <c r="O27" s="34" t="inlineStr">
        <is>
          <t>Completed</t>
        </is>
      </c>
    </row>
    <row r="28" ht="22" customHeight="1" s="52">
      <c r="A28" s="30" t="inlineStr">
        <is>
          <t>Physics</t>
        </is>
      </c>
      <c r="B28" s="27" t="inlineStr">
        <is>
          <t>Phys RP7</t>
        </is>
      </c>
      <c r="C28" s="27" t="inlineStr">
        <is>
          <t>Paper 2</t>
        </is>
      </c>
      <c r="D28" s="28" t="inlineStr">
        <is>
          <t>Acceleration</t>
        </is>
      </c>
      <c r="E28" s="27" t="inlineStr">
        <is>
          <t>Both (Trilogy &amp; Triple)</t>
        </is>
      </c>
      <c r="F28" s="28" t="inlineStr">
        <is>
          <t>Dynamics trolley, ramp tilt, light gates, ticker timer, varying falling mass</t>
        </is>
      </c>
      <c r="G28" s="28" t="inlineStr">
        <is>
          <t>F=ma verification, terminal velocity, eliminating friction error with slope</t>
        </is>
      </c>
      <c r="H28" s="34" t="inlineStr">
        <is>
          <t>Outstanding</t>
        </is>
      </c>
      <c r="I28" s="34" t="inlineStr">
        <is>
          <t>Completed</t>
        </is>
      </c>
      <c r="J28" s="34" t="inlineStr">
        <is>
          <t>Outstanding</t>
        </is>
      </c>
      <c r="K28" s="34" t="inlineStr">
        <is>
          <t>Outstanding</t>
        </is>
      </c>
      <c r="L28" s="34" t="inlineStr">
        <is>
          <t>Outstanding</t>
        </is>
      </c>
      <c r="M28" s="34" t="inlineStr">
        <is>
          <t>Outstanding</t>
        </is>
      </c>
      <c r="N28" s="34" t="inlineStr">
        <is>
          <t>Outstanding</t>
        </is>
      </c>
      <c r="O28" s="34" t="inlineStr">
        <is>
          <t>Completed</t>
        </is>
      </c>
    </row>
    <row r="29" ht="22" customHeight="1" s="52">
      <c r="A29" s="30" t="inlineStr">
        <is>
          <t>Physics</t>
        </is>
      </c>
      <c r="B29" s="10" t="inlineStr">
        <is>
          <t>Phys RP8</t>
        </is>
      </c>
      <c r="C29" s="10" t="inlineStr">
        <is>
          <t>Paper 2</t>
        </is>
      </c>
      <c r="D29" s="11" t="inlineStr">
        <is>
          <t>Waves</t>
        </is>
      </c>
      <c r="E29" s="10" t="inlineStr">
        <is>
          <t>Both (Trilogy &amp; Triple)</t>
        </is>
      </c>
      <c r="F29" s="11" t="inlineStr">
        <is>
          <t>Ripple tank (strobe light/motor) &amp; stationary waves on vibrating string</t>
        </is>
      </c>
      <c r="G29" s="11" t="inlineStr">
        <is>
          <t>Wave equation v = f*lambda, measuring wavelength over 10 wave peaks</t>
        </is>
      </c>
      <c r="H29" s="34" t="inlineStr">
        <is>
          <t>Outstanding</t>
        </is>
      </c>
      <c r="I29" s="34" t="inlineStr">
        <is>
          <t>Completed</t>
        </is>
      </c>
      <c r="J29" s="34" t="inlineStr">
        <is>
          <t>Outstanding</t>
        </is>
      </c>
      <c r="K29" s="34" t="inlineStr">
        <is>
          <t>Outstanding</t>
        </is>
      </c>
      <c r="L29" s="34" t="inlineStr">
        <is>
          <t>Outstanding</t>
        </is>
      </c>
      <c r="M29" s="34" t="inlineStr">
        <is>
          <t>Outstanding</t>
        </is>
      </c>
      <c r="N29" s="34" t="inlineStr">
        <is>
          <t>Outstanding</t>
        </is>
      </c>
      <c r="O29" s="34" t="inlineStr">
        <is>
          <t>Completed</t>
        </is>
      </c>
    </row>
    <row r="30" ht="22" customHeight="1" s="52">
      <c r="A30" s="30" t="inlineStr">
        <is>
          <t>Physics</t>
        </is>
      </c>
      <c r="B30" s="27" t="inlineStr">
        <is>
          <t>Phys RP9</t>
        </is>
      </c>
      <c r="C30" s="27" t="inlineStr">
        <is>
          <t>Paper 2</t>
        </is>
      </c>
      <c r="D30" s="28" t="inlineStr">
        <is>
          <t>Light (Reflection/Refraction)</t>
        </is>
      </c>
      <c r="E30" s="27" t="inlineStr">
        <is>
          <t>Triple Only</t>
        </is>
      </c>
      <c r="F30" s="28" t="inlineStr">
        <is>
          <t>Ray box, glass/perspex block, protractor, drawing normal lines</t>
        </is>
      </c>
      <c r="G30" s="28" t="inlineStr">
        <is>
          <t>Snell's law, angle of incidence vs angle of refraction, law of reflection</t>
        </is>
      </c>
      <c r="H30" s="35" t="inlineStr">
        <is>
          <t>N/A</t>
        </is>
      </c>
      <c r="I30" s="34" t="inlineStr">
        <is>
          <t>Outstanding</t>
        </is>
      </c>
      <c r="J30" s="35" t="inlineStr">
        <is>
          <t>N/A</t>
        </is>
      </c>
      <c r="K30" s="35" t="inlineStr">
        <is>
          <t>N/A</t>
        </is>
      </c>
      <c r="L30" s="34" t="inlineStr">
        <is>
          <t>Outstanding</t>
        </is>
      </c>
      <c r="M30" s="35" t="inlineStr">
        <is>
          <t>N/A</t>
        </is>
      </c>
      <c r="N30" s="35" t="inlineStr">
        <is>
          <t>N/A</t>
        </is>
      </c>
      <c r="O30" s="34" t="inlineStr">
        <is>
          <t>Outstanding</t>
        </is>
      </c>
    </row>
    <row r="31" ht="22" customHeight="1" s="52">
      <c r="A31" s="30" t="inlineStr">
        <is>
          <t>Physics</t>
        </is>
      </c>
      <c r="B31" s="10" t="inlineStr">
        <is>
          <t>Phys RP10</t>
        </is>
      </c>
      <c r="C31" s="10" t="inlineStr">
        <is>
          <t>Paper 2</t>
        </is>
      </c>
      <c r="D31" s="11" t="inlineStr">
        <is>
          <t>Radiation &amp; Absorption</t>
        </is>
      </c>
      <c r="E31" s="10" t="inlineStr">
        <is>
          <t>Both (Trilogy &amp; Triple)</t>
        </is>
      </c>
      <c r="F31" s="11" t="inlineStr">
        <is>
          <t>Leslie cube (matte black, shiny black, white, shiny silver), infrared sensor</t>
        </is>
      </c>
      <c r="G31" s="11" t="inlineStr">
        <is>
          <t>Infrared emission comparisons, heat detector positioning at equal distance</t>
        </is>
      </c>
      <c r="H31" s="34" t="inlineStr">
        <is>
          <t>Outstanding</t>
        </is>
      </c>
      <c r="I31" s="34" t="inlineStr">
        <is>
          <t>Completed</t>
        </is>
      </c>
      <c r="J31" s="34" t="inlineStr">
        <is>
          <t>Outstanding</t>
        </is>
      </c>
      <c r="K31" s="34" t="inlineStr">
        <is>
          <t>Outstanding</t>
        </is>
      </c>
      <c r="L31" s="34" t="inlineStr">
        <is>
          <t>Outstanding</t>
        </is>
      </c>
      <c r="M31" s="34" t="inlineStr">
        <is>
          <t>Outstanding</t>
        </is>
      </c>
      <c r="N31" s="34" t="inlineStr">
        <is>
          <t>Outstanding</t>
        </is>
      </c>
      <c r="O31" s="34" t="inlineStr">
        <is>
          <t>Completed</t>
        </is>
      </c>
    </row>
    <row r="32" ht="22" customHeight="1" s="52">
      <c r="A32" s="66" t="inlineStr">
        <is>
          <t>TOTAL OUTSTANDING PRACTICALS</t>
        </is>
      </c>
      <c r="H32" s="36">
        <f>COUNTIF(H4:H31, "Outstanding")</f>
        <v/>
      </c>
      <c r="I32" s="36">
        <f>COUNTIF(I4:I31, "Outstanding")</f>
        <v/>
      </c>
      <c r="J32" s="36">
        <f>COUNTIF(J4:J31, "Outstanding")</f>
        <v/>
      </c>
      <c r="K32" s="36">
        <f>COUNTIF(K4:K31, "Outstanding")</f>
        <v/>
      </c>
      <c r="L32" s="36">
        <f>COUNTIF(L4:L31, "Outstanding")</f>
        <v/>
      </c>
      <c r="M32" s="36">
        <f>COUNTIF(M4:M31, "Outstanding")</f>
        <v/>
      </c>
      <c r="N32" s="36">
        <f>COUNTIF(N4:N31, "Outstanding")</f>
        <v/>
      </c>
      <c r="O32" s="36">
        <f>COUNTIF(O4:O31, "Outstanding")</f>
        <v/>
      </c>
      <c r="P32" s="36">
        <f>COUNTIF(P4:P31, "Outstanding")</f>
        <v/>
      </c>
    </row>
  </sheetData>
  <mergeCells count="2">
    <mergeCell ref="A32:G32"/>
    <mergeCell ref="A1:O1"/>
  </mergeCells>
  <conditionalFormatting sqref="H4:O31 P22">
    <cfRule type="cellIs" priority="1" operator="equal" dxfId="0" stopIfTrue="1">
      <formula>"Completed"</formula>
    </cfRule>
    <cfRule type="cellIs" priority="2" operator="equal" dxfId="2" stopIfTrue="1">
      <formula>"Outstanding"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M11"/>
  <sheetViews>
    <sheetView workbookViewId="0">
      <selection activeCell="A1" sqref="A1:M1"/>
    </sheetView>
  </sheetViews>
  <sheetFormatPr baseColWidth="8" defaultRowHeight="14.5"/>
  <cols>
    <col width="11" customWidth="1" style="52" min="1" max="1"/>
    <col width="16.90625" customWidth="1" style="52" min="2" max="2"/>
    <col width="12" customWidth="1" style="52" min="3" max="3"/>
    <col width="9" customWidth="1" style="52" min="4" max="5"/>
    <col width="14.90625" customWidth="1" style="52" min="6" max="6"/>
    <col width="16" customWidth="1" style="52" min="7" max="7"/>
    <col width="14.90625" customWidth="1" style="52" min="8" max="8"/>
    <col width="16" customWidth="1" style="52" min="9" max="9"/>
    <col width="16.90625" customWidth="1" style="52" min="10" max="10"/>
    <col width="20" customWidth="1" style="52" min="11" max="11"/>
    <col width="16" customWidth="1" style="52" min="12" max="12"/>
    <col width="26" customWidth="1" style="52" min="13" max="13"/>
  </cols>
  <sheetData>
    <row r="1" ht="32.15" customHeight="1" s="52">
      <c r="A1" s="67" t="inlineStr">
        <is>
          <t>GCSE SCIENCE PAPER 1 &amp; 2 SPLIT, MATHS SKILLS &amp; INTERVENTION DASHBOARD</t>
        </is>
      </c>
    </row>
    <row r="3" ht="26.15" customHeight="1" s="52">
      <c r="A3" s="31" t="inlineStr">
        <is>
          <t>Student ID</t>
        </is>
      </c>
      <c r="B3" s="31" t="inlineStr">
        <is>
          <t>Student Name</t>
        </is>
      </c>
      <c r="C3" s="31" t="inlineStr">
        <is>
          <t>Tier</t>
        </is>
      </c>
      <c r="D3" s="31" t="inlineStr">
        <is>
          <t>Baseline</t>
        </is>
      </c>
      <c r="E3" s="31" t="inlineStr">
        <is>
          <t>Predicted</t>
        </is>
      </c>
      <c r="F3" s="31" t="inlineStr">
        <is>
          <t>Paper 1 Avg (/35)</t>
        </is>
      </c>
      <c r="G3" s="31" t="inlineStr">
        <is>
          <t>Paper 1 Projected Grade</t>
        </is>
      </c>
      <c r="H3" s="31" t="inlineStr">
        <is>
          <t>Paper 2 Avg (/35)</t>
        </is>
      </c>
      <c r="I3" s="31" t="inlineStr">
        <is>
          <t>Paper 2 Projected Grade</t>
        </is>
      </c>
      <c r="J3" s="31" t="inlineStr">
        <is>
          <t>Maths in Science Score (/30)</t>
        </is>
      </c>
      <c r="K3" s="31" t="inlineStr">
        <is>
          <t>RP Confidence Rating</t>
        </is>
      </c>
      <c r="L3" s="31" t="inlineStr">
        <is>
          <t>Intervention Priority Index</t>
        </is>
      </c>
      <c r="M3" s="31" t="inlineStr">
        <is>
          <t>Diagnostic Strategy</t>
        </is>
      </c>
    </row>
    <row r="4" ht="20.15" customHeight="1" s="52">
      <c r="A4" s="10">
        <f>'Student Tracker'!A5</f>
        <v/>
      </c>
      <c r="B4" s="11">
        <f>'Student Tracker'!B5</f>
        <v/>
      </c>
      <c r="C4" s="10">
        <f>'Student Tracker'!G5</f>
        <v/>
      </c>
      <c r="D4" s="10">
        <f>'Student Tracker'!H5</f>
        <v/>
      </c>
      <c r="E4" s="10">
        <f>'Student Tracker'!I5</f>
        <v/>
      </c>
      <c r="F4" s="19">
        <f>AVERAGE('Student Tracker'!J5:M5, 'Student Tracker'!Q5:U5, 'Student Tracker'!AA5:AD5)</f>
        <v/>
      </c>
      <c r="G4" s="10">
        <f>IF(ISNUMBER(SEARCH("Higher", C4)), _xludf.IFS((F4/35)&gt;=0.77, 9, (F4/35)&gt;=0.66, 8, (F4/35)&gt;=0.57, 7, (F4/35)&gt;=0.46, 6, (F4/35)&gt;=0.37, 5, (F4/35)&gt;=0.29, 4, (F4/35)&gt;=0.2, 3, TRUE, "U"), _xludf.IFS((F4/35)&gt;=0.63, 5, (F4/35)&gt;=0.51, 4, (F4/35)&gt;=0.4, 3, (F4/35)&gt;=0.28, 2, (F4/35)&gt;=0.18, 1, TRUE, "U"))</f>
        <v/>
      </c>
      <c r="H4" s="19">
        <f>AVERAGE('Student Tracker'!N5:P5, 'Student Tracker'!V5:Z5, 'Student Tracker'!AE5:AH5)</f>
        <v/>
      </c>
      <c r="I4" s="10">
        <f>IF(ISNUMBER(SEARCH("Higher", C4)), _xludf.IFS((H4/35)&gt;=0.77, 9, (H4/35)&gt;=0.66, 8, (H4/35)&gt;=0.57, 7, (H4/35)&gt;=0.46, 6, (H4/35)&gt;=0.37, 5, (H4/35)&gt;=0.29, 4, (H4/35)&gt;=0.2, 3, TRUE, "U"), _xludf.IFS((H4/35)&gt;=0.63, 5, (H4/35)&gt;=0.51, 4, (H4/35)&gt;=0.4, 3, (H4/35)&gt;=0.28, 2, (H4/35)&gt;=0.18, 1, TRUE, "U"))</f>
        <v/>
      </c>
      <c r="J4" s="12" t="n">
        <v>24</v>
      </c>
      <c r="K4" s="10" t="inlineStr">
        <is>
          <t>Secure (Amber/Green)</t>
        </is>
      </c>
      <c r="L4" s="10">
        <f>MAX(0, E4 - 'Student Tracker'!AK5)</f>
        <v/>
      </c>
      <c r="M4" s="11">
        <f>IF(G4&gt;I4, "Target Paper 2 Topics (P2 lag)", IF(I4&gt;G4, "Target Paper 1 Topics (P1 lag)", "Balanced Across Papers"))</f>
        <v/>
      </c>
    </row>
    <row r="5" ht="20.15" customHeight="1" s="52">
      <c r="A5" s="7">
        <f>'Student Tracker'!A6</f>
        <v/>
      </c>
      <c r="B5" s="8">
        <f>'Student Tracker'!B6</f>
        <v/>
      </c>
      <c r="C5" s="7">
        <f>'Student Tracker'!G6</f>
        <v/>
      </c>
      <c r="D5" s="7">
        <f>'Student Tracker'!H6</f>
        <v/>
      </c>
      <c r="E5" s="7">
        <f>'Student Tracker'!I6</f>
        <v/>
      </c>
      <c r="F5" s="17">
        <f>AVERAGE('Student Tracker'!J6:M6, 'Student Tracker'!Q6:U6, 'Student Tracker'!AA6:AD6)</f>
        <v/>
      </c>
      <c r="G5" s="7">
        <f>IF(ISNUMBER(SEARCH("Higher", C5)), _xludf.IFS((F5/35)&gt;=0.77, 9, (F5/35)&gt;=0.66, 8, (F5/35)&gt;=0.57, 7, (F5/35)&gt;=0.46, 6, (F5/35)&gt;=0.37, 5, (F5/35)&gt;=0.29, 4, (F5/35)&gt;=0.2, 3, TRUE, "U"), _xludf.IFS((F5/35)&gt;=0.63, 5, (F5/35)&gt;=0.51, 4, (F5/35)&gt;=0.4, 3, (F5/35)&gt;=0.28, 2, (F5/35)&gt;=0.18, 1, TRUE, "U"))</f>
        <v/>
      </c>
      <c r="H5" s="17">
        <f>AVERAGE('Student Tracker'!N6:P6, 'Student Tracker'!V6:Z6, 'Student Tracker'!AE6:AH6)</f>
        <v/>
      </c>
      <c r="I5" s="7">
        <f>IF(ISNUMBER(SEARCH("Higher", C5)), _xludf.IFS((H5/35)&gt;=0.77, 9, (H5/35)&gt;=0.66, 8, (H5/35)&gt;=0.57, 7, (H5/35)&gt;=0.46, 6, (H5/35)&gt;=0.37, 5, (H5/35)&gt;=0.29, 4, (H5/35)&gt;=0.2, 3, TRUE, "U"), _xludf.IFS((H5/35)&gt;=0.63, 5, (H5/35)&gt;=0.51, 4, (H5/35)&gt;=0.4, 3, (H5/35)&gt;=0.28, 2, (H5/35)&gt;=0.18, 1, TRUE, "U"))</f>
        <v/>
      </c>
      <c r="J5" s="9" t="n">
        <v>27</v>
      </c>
      <c r="K5" s="7" t="inlineStr">
        <is>
          <t>Mastery (Green)</t>
        </is>
      </c>
      <c r="L5" s="7">
        <f>MAX(0, E5 - 'Student Tracker'!AK6)</f>
        <v/>
      </c>
      <c r="M5" s="8">
        <f>IF(G5&gt;I5, "Target Paper 2 Topics (P2 lag)", IF(I5&gt;G5, "Target Paper 1 Topics (P1 lag)", "Balanced Across Papers"))</f>
        <v/>
      </c>
    </row>
    <row r="6" ht="20.15" customHeight="1" s="52">
      <c r="A6" s="10">
        <f>'Student Tracker'!A7</f>
        <v/>
      </c>
      <c r="B6" s="11">
        <f>'Student Tracker'!B7</f>
        <v/>
      </c>
      <c r="C6" s="10">
        <f>'Student Tracker'!G7</f>
        <v/>
      </c>
      <c r="D6" s="10">
        <f>'Student Tracker'!H7</f>
        <v/>
      </c>
      <c r="E6" s="10">
        <f>'Student Tracker'!I7</f>
        <v/>
      </c>
      <c r="F6" s="19">
        <f>AVERAGE('Student Tracker'!J7:M7, 'Student Tracker'!Q7:U7, 'Student Tracker'!AA7:AD7)</f>
        <v/>
      </c>
      <c r="G6" s="10">
        <f>IF(ISNUMBER(SEARCH("Higher", C6)), _xludf.IFS((F6/35)&gt;=0.77, 9, (F6/35)&gt;=0.66, 8, (F6/35)&gt;=0.57, 7, (F6/35)&gt;=0.46, 6, (F6/35)&gt;=0.37, 5, (F6/35)&gt;=0.29, 4, (F6/35)&gt;=0.2, 3, TRUE, "U"), _xludf.IFS((F6/35)&gt;=0.63, 5, (F6/35)&gt;=0.51, 4, (F6/35)&gt;=0.4, 3, (F6/35)&gt;=0.28, 2, (F6/35)&gt;=0.18, 1, TRUE, "U"))</f>
        <v/>
      </c>
      <c r="H6" s="19">
        <f>AVERAGE('Student Tracker'!N7:P7, 'Student Tracker'!V7:Z7, 'Student Tracker'!AE7:AH7)</f>
        <v/>
      </c>
      <c r="I6" s="10">
        <f>IF(ISNUMBER(SEARCH("Higher", C6)), _xludf.IFS((H6/35)&gt;=0.77, 9, (H6/35)&gt;=0.66, 8, (H6/35)&gt;=0.57, 7, (H6/35)&gt;=0.46, 6, (H6/35)&gt;=0.37, 5, (H6/35)&gt;=0.29, 4, (H6/35)&gt;=0.2, 3, TRUE, "U"), _xludf.IFS((H6/35)&gt;=0.63, 5, (H6/35)&gt;=0.51, 4, (H6/35)&gt;=0.4, 3, (H6/35)&gt;=0.28, 2, (H6/35)&gt;=0.18, 1, TRUE, "U"))</f>
        <v/>
      </c>
      <c r="J6" s="12" t="n">
        <v>12</v>
      </c>
      <c r="K6" s="10" t="inlineStr">
        <is>
          <t>Developing (Red)</t>
        </is>
      </c>
      <c r="L6" s="10">
        <f>MAX(0, E6 - 'Student Tracker'!AK7)</f>
        <v/>
      </c>
      <c r="M6" s="11">
        <f>IF(G6&gt;I6, "Target Paper 2 Topics (P2 lag)", IF(I6&gt;G6, "Target Paper 1 Topics (P1 lag)", "Balanced Across Papers"))</f>
        <v/>
      </c>
    </row>
    <row r="7" ht="20.15" customHeight="1" s="52">
      <c r="A7" s="7">
        <f>'Student Tracker'!A8</f>
        <v/>
      </c>
      <c r="B7" s="8">
        <f>'Student Tracker'!B8</f>
        <v/>
      </c>
      <c r="C7" s="7">
        <f>'Student Tracker'!G8</f>
        <v/>
      </c>
      <c r="D7" s="7">
        <f>'Student Tracker'!H8</f>
        <v/>
      </c>
      <c r="E7" s="7">
        <f>'Student Tracker'!I8</f>
        <v/>
      </c>
      <c r="F7" s="17">
        <f>AVERAGE('Student Tracker'!J8:M8, 'Student Tracker'!Q8:U8, 'Student Tracker'!AA8:AD8)</f>
        <v/>
      </c>
      <c r="G7" s="7">
        <f>IF(ISNUMBER(SEARCH("Higher", C7)), _xludf.IFS((F7/35)&gt;=0.77, 9, (F7/35)&gt;=0.66, 8, (F7/35)&gt;=0.57, 7, (F7/35)&gt;=0.46, 6, (F7/35)&gt;=0.37, 5, (F7/35)&gt;=0.29, 4, (F7/35)&gt;=0.2, 3, TRUE, "U"), _xludf.IFS((F7/35)&gt;=0.63, 5, (F7/35)&gt;=0.51, 4, (F7/35)&gt;=0.4, 3, (F7/35)&gt;=0.28, 2, (F7/35)&gt;=0.18, 1, TRUE, "U"))</f>
        <v/>
      </c>
      <c r="H7" s="17">
        <f>AVERAGE('Student Tracker'!N8:P8, 'Student Tracker'!V8:Z8, 'Student Tracker'!AE8:AH8)</f>
        <v/>
      </c>
      <c r="I7" s="7">
        <f>IF(ISNUMBER(SEARCH("Higher", C7)), _xludf.IFS((H7/35)&gt;=0.77, 9, (H7/35)&gt;=0.66, 8, (H7/35)&gt;=0.57, 7, (H7/35)&gt;=0.46, 6, (H7/35)&gt;=0.37, 5, (H7/35)&gt;=0.29, 4, (H7/35)&gt;=0.2, 3, TRUE, "U"), _xludf.IFS((H7/35)&gt;=0.63, 5, (H7/35)&gt;=0.51, 4, (H7/35)&gt;=0.4, 3, (H7/35)&gt;=0.28, 2, (H7/35)&gt;=0.18, 1, TRUE, "U"))</f>
        <v/>
      </c>
      <c r="J7" s="9" t="n">
        <v>15</v>
      </c>
      <c r="K7" s="7" t="inlineStr">
        <is>
          <t>Developing (Amber)</t>
        </is>
      </c>
      <c r="L7" s="7">
        <f>MAX(0, E7 - 'Student Tracker'!AK8)</f>
        <v/>
      </c>
      <c r="M7" s="8">
        <f>IF(G7&gt;I7, "Target Paper 2 Topics (P2 lag)", IF(I7&gt;G7, "Target Paper 1 Topics (P1 lag)", "Balanced Across Papers"))</f>
        <v/>
      </c>
    </row>
    <row r="8" ht="20.15" customHeight="1" s="52">
      <c r="A8" s="10">
        <f>'Student Tracker'!A9</f>
        <v/>
      </c>
      <c r="B8" s="11">
        <f>'Student Tracker'!B9</f>
        <v/>
      </c>
      <c r="C8" s="10">
        <f>'Student Tracker'!G9</f>
        <v/>
      </c>
      <c r="D8" s="10">
        <f>'Student Tracker'!H9</f>
        <v/>
      </c>
      <c r="E8" s="10">
        <f>'Student Tracker'!I9</f>
        <v/>
      </c>
      <c r="F8" s="19">
        <f>AVERAGE('Student Tracker'!J9:M9, 'Student Tracker'!Q9:U9, 'Student Tracker'!AA9:AD9)</f>
        <v/>
      </c>
      <c r="G8" s="10">
        <f>IF(ISNUMBER(SEARCH("Higher", C8)), _xludf.IFS((F8/35)&gt;=0.77, 9, (F8/35)&gt;=0.66, 8, (F8/35)&gt;=0.57, 7, (F8/35)&gt;=0.46, 6, (F8/35)&gt;=0.37, 5, (F8/35)&gt;=0.29, 4, (F8/35)&gt;=0.2, 3, TRUE, "U"), _xludf.IFS((F8/35)&gt;=0.63, 5, (F8/35)&gt;=0.51, 4, (F8/35)&gt;=0.4, 3, (F8/35)&gt;=0.28, 2, (F8/35)&gt;=0.18, 1, TRUE, "U"))</f>
        <v/>
      </c>
      <c r="H8" s="19">
        <f>AVERAGE('Student Tracker'!N9:P9, 'Student Tracker'!V9:Z9, 'Student Tracker'!AE9:AH9)</f>
        <v/>
      </c>
      <c r="I8" s="10">
        <f>IF(ISNUMBER(SEARCH("Higher", C8)), _xludf.IFS((H8/35)&gt;=0.77, 9, (H8/35)&gt;=0.66, 8, (H8/35)&gt;=0.57, 7, (H8/35)&gt;=0.46, 6, (H8/35)&gt;=0.37, 5, (H8/35)&gt;=0.29, 4, (H8/35)&gt;=0.2, 3, TRUE, "U"), _xludf.IFS((H8/35)&gt;=0.63, 5, (H8/35)&gt;=0.51, 4, (H8/35)&gt;=0.4, 3, (H8/35)&gt;=0.28, 2, (H8/35)&gt;=0.18, 1, TRUE, "U"))</f>
        <v/>
      </c>
      <c r="J8" s="12" t="n">
        <v>20</v>
      </c>
      <c r="K8" s="10" t="inlineStr">
        <is>
          <t>Secure (Amber)</t>
        </is>
      </c>
      <c r="L8" s="10">
        <f>MAX(0, E8 - 'Student Tracker'!AK9)</f>
        <v/>
      </c>
      <c r="M8" s="11">
        <f>IF(G8&gt;I8, "Target Paper 2 Topics (P2 lag)", IF(I8&gt;G8, "Target Paper 1 Topics (P1 lag)", "Balanced Across Papers"))</f>
        <v/>
      </c>
    </row>
    <row r="9" ht="20.15" customHeight="1" s="52">
      <c r="A9" s="7">
        <f>'Student Tracker'!A10</f>
        <v/>
      </c>
      <c r="B9" s="8">
        <f>'Student Tracker'!B10</f>
        <v/>
      </c>
      <c r="C9" s="7">
        <f>'Student Tracker'!G10</f>
        <v/>
      </c>
      <c r="D9" s="7">
        <f>'Student Tracker'!H10</f>
        <v/>
      </c>
      <c r="E9" s="7">
        <f>'Student Tracker'!I10</f>
        <v/>
      </c>
      <c r="F9" s="17">
        <f>AVERAGE('Student Tracker'!J10:M10, 'Student Tracker'!Q10:U10, 'Student Tracker'!AA10:AD10)</f>
        <v/>
      </c>
      <c r="G9" s="7">
        <f>IF(ISNUMBER(SEARCH("Higher", C9)), _xludf.IFS((F9/35)&gt;=0.77, 9, (F9/35)&gt;=0.66, 8, (F9/35)&gt;=0.57, 7, (F9/35)&gt;=0.46, 6, (F9/35)&gt;=0.37, 5, (F9/35)&gt;=0.29, 4, (F9/35)&gt;=0.2, 3, TRUE, "U"), _xludf.IFS((F9/35)&gt;=0.63, 5, (F9/35)&gt;=0.51, 4, (F9/35)&gt;=0.4, 3, (F9/35)&gt;=0.28, 2, (F9/35)&gt;=0.18, 1, TRUE, "U"))</f>
        <v/>
      </c>
      <c r="H9" s="17">
        <f>AVERAGE('Student Tracker'!N10:P10, 'Student Tracker'!V10:Z10, 'Student Tracker'!AE10:AH10)</f>
        <v/>
      </c>
      <c r="I9" s="7">
        <f>IF(ISNUMBER(SEARCH("Higher", C9)), _xludf.IFS((H9/35)&gt;=0.77, 9, (H9/35)&gt;=0.66, 8, (H9/35)&gt;=0.57, 7, (H9/35)&gt;=0.46, 6, (H9/35)&gt;=0.37, 5, (H9/35)&gt;=0.29, 4, (H9/35)&gt;=0.2, 3, TRUE, "U"), _xludf.IFS((H9/35)&gt;=0.63, 5, (H9/35)&gt;=0.51, 4, (H9/35)&gt;=0.4, 3, (H9/35)&gt;=0.28, 2, (H9/35)&gt;=0.18, 1, TRUE, "U"))</f>
        <v/>
      </c>
      <c r="J9" s="9" t="n">
        <v>25</v>
      </c>
      <c r="K9" s="7" t="inlineStr">
        <is>
          <t>Mastery (Green)</t>
        </is>
      </c>
      <c r="L9" s="7">
        <f>MAX(0, E9 - 'Student Tracker'!AK10)</f>
        <v/>
      </c>
      <c r="M9" s="8">
        <f>IF(G9&gt;I9, "Target Paper 2 Topics (P2 lag)", IF(I9&gt;G9, "Target Paper 1 Topics (P1 lag)", "Balanced Across Papers"))</f>
        <v/>
      </c>
    </row>
    <row r="10" ht="20.15" customHeight="1" s="52">
      <c r="A10" s="10">
        <f>'Student Tracker'!A12</f>
        <v/>
      </c>
      <c r="B10" s="11">
        <f>'Student Tracker'!B12</f>
        <v/>
      </c>
      <c r="C10" s="10">
        <f>'Student Tracker'!G12</f>
        <v/>
      </c>
      <c r="D10" s="10">
        <f>'Student Tracker'!H12</f>
        <v/>
      </c>
      <c r="E10" s="10">
        <f>'Student Tracker'!I12</f>
        <v/>
      </c>
      <c r="F10" s="19">
        <f>AVERAGE('Student Tracker'!J12:M12, 'Student Tracker'!Q12:U12, 'Student Tracker'!AA12:AD12)</f>
        <v/>
      </c>
      <c r="G10" s="10">
        <f>IF(ISNUMBER(SEARCH("Higher", C10)), _xludf.IFS((F10/35)&gt;=0.77, 9, (F10/35)&gt;=0.66, 8, (F10/35)&gt;=0.57, 7, (F10/35)&gt;=0.46, 6, (F10/35)&gt;=0.37, 5, (F10/35)&gt;=0.29, 4, (F10/35)&gt;=0.2, 3, TRUE, "U"), _xludf.IFS((F10/35)&gt;=0.63, 5, (F10/35)&gt;=0.51, 4, (F10/35)&gt;=0.4, 3, (F10/35)&gt;=0.28, 2, (F10/35)&gt;=0.18, 1, TRUE, "U"))</f>
        <v/>
      </c>
      <c r="H10" s="19">
        <f>AVERAGE('Student Tracker'!N12:P12, 'Student Tracker'!V12:Z12, 'Student Tracker'!AE12:AH12)</f>
        <v/>
      </c>
      <c r="I10" s="10">
        <f>IF(ISNUMBER(SEARCH("Higher", C10)), _xludf.IFS((H10/35)&gt;=0.77, 9, (H10/35)&gt;=0.66, 8, (H10/35)&gt;=0.57, 7, (H10/35)&gt;=0.46, 6, (H10/35)&gt;=0.37, 5, (H10/35)&gt;=0.29, 4, (H10/35)&gt;=0.2, 3, TRUE, "U"), _xludf.IFS((H10/35)&gt;=0.63, 5, (H10/35)&gt;=0.51, 4, (H10/35)&gt;=0.4, 3, (H10/35)&gt;=0.28, 2, (H10/35)&gt;=0.18, 1, TRUE, "U"))</f>
        <v/>
      </c>
      <c r="J10" s="12" t="n">
        <v>10</v>
      </c>
      <c r="K10" s="10" t="inlineStr">
        <is>
          <t>Emerging (Red)</t>
        </is>
      </c>
      <c r="L10" s="10">
        <f>MAX(0, E10 - 'Student Tracker'!AK12)</f>
        <v/>
      </c>
      <c r="M10" s="11">
        <f>IF(G10&gt;I10, "Target Paper 2 Topics (P2 lag)", IF(I10&gt;G10, "Target Paper 1 Topics (P1 lag)", "Balanced Across Papers"))</f>
        <v/>
      </c>
    </row>
    <row r="11" ht="20.15" customHeight="1" s="52">
      <c r="A11" s="7">
        <f>'Student Tracker'!#REF!</f>
        <v/>
      </c>
      <c r="B11" s="8">
        <f>'Student Tracker'!#REF!</f>
        <v/>
      </c>
      <c r="C11" s="7">
        <f>'Student Tracker'!#REF!</f>
        <v/>
      </c>
      <c r="D11" s="7">
        <f>'Student Tracker'!#REF!</f>
        <v/>
      </c>
      <c r="E11" s="7">
        <f>'Student Tracker'!#REF!</f>
        <v/>
      </c>
      <c r="F11" s="17">
        <f>AVERAGE('Student Tracker'!#REF!, 'Student Tracker'!#REF!, 'Student Tracker'!#REF!)</f>
        <v/>
      </c>
      <c r="G11" s="7">
        <f>IF(ISNUMBER(SEARCH("Higher", C11)), _xludf.IFS((F11/35)&gt;=0.77, 9, (F11/35)&gt;=0.66, 8, (F11/35)&gt;=0.57, 7, (F11/35)&gt;=0.46, 6, (F11/35)&gt;=0.37, 5, (F11/35)&gt;=0.29, 4, (F11/35)&gt;=0.2, 3, TRUE, "U"), _xludf.IFS((F11/35)&gt;=0.63, 5, (F11/35)&gt;=0.51, 4, (F11/35)&gt;=0.4, 3, (F11/35)&gt;=0.28, 2, (F11/35)&gt;=0.18, 1, TRUE, "U"))</f>
        <v/>
      </c>
      <c r="H11" s="17">
        <f>AVERAGE('Student Tracker'!#REF!, 'Student Tracker'!#REF!, 'Student Tracker'!#REF!)</f>
        <v/>
      </c>
      <c r="I11" s="7">
        <f>IF(ISNUMBER(SEARCH("Higher", C11)), _xludf.IFS((H11/35)&gt;=0.77, 9, (H11/35)&gt;=0.66, 8, (H11/35)&gt;=0.57, 7, (H11/35)&gt;=0.46, 6, (H11/35)&gt;=0.37, 5, (H11/35)&gt;=0.29, 4, (H11/35)&gt;=0.2, 3, TRUE, "U"), _xludf.IFS((H11/35)&gt;=0.63, 5, (H11/35)&gt;=0.51, 4, (H11/35)&gt;=0.4, 3, (H11/35)&gt;=0.28, 2, (H11/35)&gt;=0.18, 1, TRUE, "U"))</f>
        <v/>
      </c>
      <c r="J11" s="9" t="n">
        <v>29</v>
      </c>
      <c r="K11" s="7" t="inlineStr">
        <is>
          <t>Mastery (Green)</t>
        </is>
      </c>
      <c r="L11" s="7">
        <f>MAX(0, E11 - 'Student Tracker'!#REF!)</f>
        <v/>
      </c>
      <c r="M11" s="8">
        <f>IF(G11&gt;I11, "Target Paper 2 Topics (P2 lag)", IF(I11&gt;G11, "Target Paper 1 Topics (P1 lag)", "Balanced Across Papers"))</f>
        <v/>
      </c>
    </row>
  </sheetData>
  <mergeCells count="1">
    <mergeCell ref="A1:M1"/>
  </mergeCells>
  <conditionalFormatting sqref="L4:L11">
    <cfRule type="cellIs" priority="1" operator="greaterThanOrEqual" dxfId="2" stopIfTrue="1">
      <formula>2</formula>
    </cfRule>
    <cfRule type="cellIs" priority="2" operator="equal" dxfId="1" stopIfTrue="1">
      <formula>1</formula>
    </cfRule>
    <cfRule type="cellIs" priority="3" operator="equal" dxfId="0" stopIfTrue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 codeName="Sheet4"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4.5"/>
  <cols>
    <col width="9.90625" customWidth="1" style="52" min="1" max="1"/>
    <col width="16" customWidth="1" style="52" min="2" max="2"/>
    <col width="18" customWidth="1" style="52" min="3" max="4"/>
    <col width="20" customWidth="1" style="52" min="5" max="5"/>
    <col width="37.90625" customWidth="1" style="52" min="6" max="6"/>
  </cols>
  <sheetData>
    <row r="1" ht="18.5" customHeight="1" s="52">
      <c r="A1" s="14" t="inlineStr">
        <is>
          <t>AQA GCSE Science Grade Boundaries &amp; Scaling (Marks out of 35)</t>
        </is>
      </c>
    </row>
    <row r="3">
      <c r="A3" s="15" t="inlineStr">
        <is>
          <t>Grade</t>
        </is>
      </c>
      <c r="B3" s="15" t="inlineStr">
        <is>
          <t>Higher Min %</t>
        </is>
      </c>
      <c r="C3" s="15" t="inlineStr">
        <is>
          <t>Higher Min /35</t>
        </is>
      </c>
      <c r="D3" s="15" t="inlineStr">
        <is>
          <t>Foundation Min %</t>
        </is>
      </c>
      <c r="E3" s="15" t="inlineStr">
        <is>
          <t>Foundation Min /35</t>
        </is>
      </c>
      <c r="F3" s="15" t="inlineStr">
        <is>
          <t>Combined Science Dual Grade Equivalent</t>
        </is>
      </c>
    </row>
    <row r="4">
      <c r="A4" s="16" t="n">
        <v>9</v>
      </c>
      <c r="B4" s="24" t="n">
        <v>0.77</v>
      </c>
      <c r="C4" s="25" t="n">
        <v>27</v>
      </c>
      <c r="D4" s="16" t="inlineStr">
        <is>
          <t>-</t>
        </is>
      </c>
      <c r="E4" s="16" t="inlineStr">
        <is>
          <t>-</t>
        </is>
      </c>
      <c r="F4" s="16" t="inlineStr">
        <is>
          <t>9-9 (≥77%)</t>
        </is>
      </c>
    </row>
    <row r="5">
      <c r="A5" s="16" t="n">
        <v>8</v>
      </c>
      <c r="B5" s="24" t="n">
        <v>0.66</v>
      </c>
      <c r="C5" s="25" t="n">
        <v>23.1</v>
      </c>
      <c r="D5" s="16" t="inlineStr">
        <is>
          <t>-</t>
        </is>
      </c>
      <c r="E5" s="16" t="inlineStr">
        <is>
          <t>-</t>
        </is>
      </c>
      <c r="F5" s="16" t="inlineStr">
        <is>
          <t>8-8 / 8-7 (66%-76%)</t>
        </is>
      </c>
    </row>
    <row r="6">
      <c r="A6" s="16" t="n">
        <v>7</v>
      </c>
      <c r="B6" s="24" t="n">
        <v>0.57</v>
      </c>
      <c r="C6" s="25" t="n">
        <v>20</v>
      </c>
      <c r="D6" s="16" t="inlineStr">
        <is>
          <t>-</t>
        </is>
      </c>
      <c r="E6" s="16" t="inlineStr">
        <is>
          <t>-</t>
        </is>
      </c>
      <c r="F6" s="16" t="inlineStr">
        <is>
          <t>7-7 / 7-6 (57%-65%)</t>
        </is>
      </c>
    </row>
    <row r="7">
      <c r="A7" s="16" t="n">
        <v>6</v>
      </c>
      <c r="B7" s="24" t="n">
        <v>0.46</v>
      </c>
      <c r="C7" s="25" t="n">
        <v>16.1</v>
      </c>
      <c r="D7" s="16" t="inlineStr">
        <is>
          <t>-</t>
        </is>
      </c>
      <c r="E7" s="16" t="inlineStr">
        <is>
          <t>-</t>
        </is>
      </c>
      <c r="F7" s="16" t="inlineStr">
        <is>
          <t>6-6 / 6-5 (46%-56%)</t>
        </is>
      </c>
    </row>
    <row r="8">
      <c r="A8" s="16" t="n">
        <v>5</v>
      </c>
      <c r="B8" s="24" t="n">
        <v>0.37</v>
      </c>
      <c r="C8" s="25" t="n">
        <v>13</v>
      </c>
      <c r="D8" s="24" t="n">
        <v>0.63</v>
      </c>
      <c r="E8" s="25" t="n">
        <v>22.1</v>
      </c>
      <c r="F8" s="16" t="inlineStr">
        <is>
          <t>5-5 / 5-4 (37%-45% H, ≥63% F)</t>
        </is>
      </c>
    </row>
    <row r="9">
      <c r="A9" s="16" t="n">
        <v>4</v>
      </c>
      <c r="B9" s="24" t="n">
        <v>0.29</v>
      </c>
      <c r="C9" s="25" t="n">
        <v>10.2</v>
      </c>
      <c r="D9" s="24" t="n">
        <v>0.51</v>
      </c>
      <c r="E9" s="25" t="n">
        <v>17.9</v>
      </c>
      <c r="F9" s="16" t="inlineStr">
        <is>
          <t>4-4 / 4-3 (29%-36% H, 51%-62% F)</t>
        </is>
      </c>
    </row>
    <row r="10">
      <c r="A10" s="16" t="n">
        <v>3</v>
      </c>
      <c r="B10" s="24" t="n">
        <v>0.2</v>
      </c>
      <c r="C10" s="25" t="n">
        <v>7</v>
      </c>
      <c r="D10" s="24" t="n">
        <v>0.4</v>
      </c>
      <c r="E10" s="25" t="n">
        <v>14</v>
      </c>
      <c r="F10" s="16" t="inlineStr">
        <is>
          <t>3-3 (Allowable Higher, 40%-50% F)</t>
        </is>
      </c>
    </row>
    <row r="11">
      <c r="A11" s="16" t="n">
        <v>2</v>
      </c>
      <c r="B11" s="16" t="inlineStr">
        <is>
          <t>-</t>
        </is>
      </c>
      <c r="C11" s="16" t="inlineStr">
        <is>
          <t>-</t>
        </is>
      </c>
      <c r="D11" s="24" t="n">
        <v>0.28</v>
      </c>
      <c r="E11" s="25" t="n">
        <v>9.800000000000001</v>
      </c>
      <c r="F11" s="16" t="inlineStr">
        <is>
          <t>2-2 / 2-1 (28%-39% F)</t>
        </is>
      </c>
    </row>
    <row r="12">
      <c r="A12" s="16" t="n">
        <v>1</v>
      </c>
      <c r="B12" s="16" t="inlineStr">
        <is>
          <t>-</t>
        </is>
      </c>
      <c r="C12" s="16" t="inlineStr">
        <is>
          <t>-</t>
        </is>
      </c>
      <c r="D12" s="24" t="n">
        <v>0.18</v>
      </c>
      <c r="E12" s="25" t="n">
        <v>6.3</v>
      </c>
      <c r="F12" s="16" t="inlineStr">
        <is>
          <t>1-1 (18%-27% F)</t>
        </is>
      </c>
    </row>
    <row r="13">
      <c r="A13" s="16" t="inlineStr">
        <is>
          <t>U</t>
        </is>
      </c>
      <c r="B13" s="24" t="n">
        <v>0</v>
      </c>
      <c r="C13" s="25" t="n">
        <v>0</v>
      </c>
      <c r="D13" s="24" t="n">
        <v>0</v>
      </c>
      <c r="E13" s="25" t="n">
        <v>0</v>
      </c>
      <c r="F13" s="16" t="inlineStr">
        <is>
          <t>Ungraded (&lt;20% H, &lt;18% 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tabSelected="1" workbookViewId="0">
      <selection activeCell="A14" sqref="A14:XFD20"/>
    </sheetView>
  </sheetViews>
  <sheetFormatPr baseColWidth="8" defaultRowHeight="14.5"/>
  <cols>
    <col width="18.7265625" bestFit="1" customWidth="1" style="52" min="3" max="3"/>
  </cols>
  <sheetData>
    <row r="1">
      <c r="A1" t="inlineStr">
        <is>
          <t>2026-10-22</t>
        </is>
      </c>
      <c r="B1" t="inlineStr">
        <is>
          <t>Thursday</t>
        </is>
      </c>
      <c r="C1" t="inlineStr">
        <is>
          <t>18:00 - 19:00</t>
        </is>
      </c>
      <c r="D1" t="inlineStr">
        <is>
          <t>GCSE Science Group 11A3F (Daud Farid)</t>
        </is>
      </c>
      <c r="E1" t="inlineStr">
        <is>
          <t>GCSE Science</t>
        </is>
      </c>
      <c r="F1" t="inlineStr">
        <is>
          <t>Present</t>
        </is>
      </c>
      <c r="G1" t="inlineStr">
        <is>
          <t>Baseline Test</t>
        </is>
      </c>
      <c r="H1" t="inlineStr">
        <is>
          <t>First session it was an assessment so homework from next week</t>
        </is>
      </c>
      <c r="I1" t="inlineStr">
        <is>
          <t>Baseline Completed</t>
        </is>
      </c>
    </row>
    <row r="2">
      <c r="A2" t="inlineStr">
        <is>
          <t>2026-10-22</t>
        </is>
      </c>
      <c r="B2" t="inlineStr">
        <is>
          <t>Thursday</t>
        </is>
      </c>
      <c r="C2" t="inlineStr">
        <is>
          <t>18:00 - 19:00</t>
        </is>
      </c>
      <c r="D2" t="inlineStr">
        <is>
          <t>GCSE Science Group 11A3F (Maria Nadeem)</t>
        </is>
      </c>
      <c r="E2" t="inlineStr">
        <is>
          <t>GCSE Science</t>
        </is>
      </c>
      <c r="F2" t="inlineStr">
        <is>
          <t>Present</t>
        </is>
      </c>
      <c r="G2" t="inlineStr">
        <is>
          <t>Baseline Test</t>
        </is>
      </c>
      <c r="H2" t="inlineStr">
        <is>
          <t>First session it was an assessment so homework from next week</t>
        </is>
      </c>
      <c r="I2" t="inlineStr">
        <is>
          <t>Baseline Completed</t>
        </is>
      </c>
    </row>
    <row r="3">
      <c r="A3" t="inlineStr">
        <is>
          <t>2026-10-22</t>
        </is>
      </c>
      <c r="B3" t="inlineStr">
        <is>
          <t>Thursday</t>
        </is>
      </c>
      <c r="C3" t="inlineStr">
        <is>
          <t>18:00 - 19:00</t>
        </is>
      </c>
      <c r="D3" t="inlineStr">
        <is>
          <t>GCSE Science Group 11A3F (Haashim Ali Sadiq)</t>
        </is>
      </c>
      <c r="E3" t="inlineStr">
        <is>
          <t>GCSE Science</t>
        </is>
      </c>
      <c r="F3" t="inlineStr">
        <is>
          <t>Present</t>
        </is>
      </c>
      <c r="G3" t="inlineStr">
        <is>
          <t>Baseline Test</t>
        </is>
      </c>
      <c r="H3" t="inlineStr">
        <is>
          <t>First session it was an assessment so homework from next week</t>
        </is>
      </c>
      <c r="I3" t="inlineStr">
        <is>
          <t>Baseline Completed</t>
        </is>
      </c>
    </row>
    <row r="4">
      <c r="A4" t="inlineStr">
        <is>
          <t>2026-10-23</t>
        </is>
      </c>
      <c r="B4" t="inlineStr">
        <is>
          <t>Friday</t>
        </is>
      </c>
      <c r="C4" t="inlineStr">
        <is>
          <t>16:00 - 17:00</t>
        </is>
      </c>
      <c r="D4" t="inlineStr">
        <is>
          <t>11A4 Friday 16:00-17:00 (Bilal Wahid)</t>
        </is>
      </c>
      <c r="E4" t="inlineStr">
        <is>
          <t>GCSE Science</t>
        </is>
      </c>
      <c r="F4" t="inlineStr">
        <is>
          <t>Present</t>
        </is>
      </c>
      <c r="G4" t="inlineStr">
        <is>
          <t>Mock Exam</t>
        </is>
      </c>
      <c r="I4" t="inlineStr">
        <is>
          <t>Mock Paper 1 completed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ClassName</t>
        </is>
      </c>
      <c r="B1" t="inlineStr">
        <is>
          <t>Students</t>
        </is>
      </c>
    </row>
    <row r="2">
      <c r="A2" t="inlineStr">
        <is>
          <t>11A3 Thursday 18:00 - 19:00</t>
        </is>
      </c>
      <c r="B2" t="inlineStr">
        <is>
          <t>Maria Nadeem,Daud Farid,Haashim Ali Sadiq</t>
        </is>
      </c>
    </row>
    <row r="3">
      <c r="A3" t="inlineStr">
        <is>
          <t>11A4 Friday 16:00-17:00</t>
        </is>
      </c>
      <c r="B3" t="inlineStr">
        <is>
          <t>Bilal Wahid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ClassGroup</t>
        </is>
      </c>
      <c r="B1" t="inlineStr">
        <is>
          <t>StudentName</t>
        </is>
      </c>
      <c r="C1" t="inlineStr">
        <is>
          <t>DueDate</t>
        </is>
      </c>
      <c r="D1" t="inlineStr">
        <is>
          <t>AmountDue</t>
        </is>
      </c>
      <c r="E1" t="inlineStr">
        <is>
          <t>PaymentStatus</t>
        </is>
      </c>
      <c r="F1" t="inlineStr">
        <is>
          <t>Notes</t>
        </is>
      </c>
    </row>
    <row r="2">
      <c r="A2" t="inlineStr">
        <is>
          <t>11A3 Thursday 18:00 - 19:00</t>
        </is>
      </c>
      <c r="B2" t="inlineStr">
        <is>
          <t>Maria Nadeem</t>
        </is>
      </c>
      <c r="C2" t="inlineStr">
        <is>
          <t>2026-10-22</t>
        </is>
      </c>
      <c r="D2" t="n">
        <v>15</v>
      </c>
      <c r="E2" t="inlineStr">
        <is>
          <t>Paid Up-to-Date</t>
        </is>
      </c>
      <c r="F2" t="inlineStr">
        <is>
          <t>Cash</t>
        </is>
      </c>
    </row>
    <row r="3">
      <c r="A3" t="inlineStr">
        <is>
          <t>11A3 Thursday 18:00 - 19:00</t>
        </is>
      </c>
      <c r="B3" t="inlineStr">
        <is>
          <t>Daud Farid</t>
        </is>
      </c>
      <c r="C3" t="inlineStr">
        <is>
          <t>2026-10-22</t>
        </is>
      </c>
      <c r="D3" t="n">
        <v>15</v>
      </c>
      <c r="E3" t="inlineStr">
        <is>
          <t>Paid Up-to-Date</t>
        </is>
      </c>
      <c r="F3" t="inlineStr">
        <is>
          <t>Cash</t>
        </is>
      </c>
    </row>
    <row r="4">
      <c r="A4" t="inlineStr">
        <is>
          <t>11A3 Thursday 18:00 - 19:00</t>
        </is>
      </c>
      <c r="B4" t="inlineStr">
        <is>
          <t>Haashim Ali Sadiq</t>
        </is>
      </c>
      <c r="C4" t="inlineStr">
        <is>
          <t>2026-10-22</t>
        </is>
      </c>
      <c r="D4" t="n">
        <v>0</v>
      </c>
      <c r="E4" t="inlineStr">
        <is>
          <t>Paid Up-to-Date</t>
        </is>
      </c>
      <c r="F4" t="inlineStr">
        <is>
          <t>Cash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Student Name</t>
        </is>
      </c>
      <c r="C1" t="inlineStr">
        <is>
          <t>Assessment Type</t>
        </is>
      </c>
      <c r="D1" t="inlineStr">
        <is>
          <t>Date</t>
        </is>
      </c>
      <c r="E1" t="inlineStr">
        <is>
          <t>Biology (/23)</t>
        </is>
      </c>
      <c r="F1" t="inlineStr">
        <is>
          <t>Chemistry (/23)</t>
        </is>
      </c>
      <c r="G1" t="inlineStr">
        <is>
          <t>Physics (/24)</t>
        </is>
      </c>
      <c r="H1" t="inlineStr">
        <is>
          <t>Total (/70)</t>
        </is>
      </c>
    </row>
    <row r="2">
      <c r="A2" t="inlineStr">
        <is>
          <t>SCI-108</t>
        </is>
      </c>
      <c r="B2" t="inlineStr">
        <is>
          <t>Bilal Wahid</t>
        </is>
      </c>
      <c r="C2" t="inlineStr">
        <is>
          <t>Mock Paper 1</t>
        </is>
      </c>
      <c r="D2" t="inlineStr">
        <is>
          <t>2026-10-23</t>
        </is>
      </c>
      <c r="E2" t="n">
        <v>12</v>
      </c>
      <c r="F2" t="n">
        <v>7</v>
      </c>
      <c r="G2" t="n">
        <v>6</v>
      </c>
      <c r="H2" t="n">
        <v>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StudentName</t>
        </is>
      </c>
      <c r="B1" t="inlineStr">
        <is>
          <t>StudentID</t>
        </is>
      </c>
      <c r="C1" t="inlineStr">
        <is>
          <t>ParentName</t>
        </is>
      </c>
      <c r="D1" t="inlineStr">
        <is>
          <t>ParentEmail</t>
        </is>
      </c>
      <c r="E1" t="inlineStr">
        <is>
          <t>PrimaryPhone</t>
        </is>
      </c>
      <c r="F1" t="inlineStr">
        <is>
          <t>SecondaryName</t>
        </is>
      </c>
      <c r="G1" t="inlineStr">
        <is>
          <t>SecondaryRelation</t>
        </is>
      </c>
      <c r="H1" t="inlineStr">
        <is>
          <t>SecondaryPhone</t>
        </is>
      </c>
      <c r="I1" t="inlineStr">
        <is>
          <t>AllergiesMedical</t>
        </is>
      </c>
      <c r="J1" t="inlineStr">
        <is>
          <t>SupportNeeds</t>
        </is>
      </c>
    </row>
    <row r="2">
      <c r="A2" t="inlineStr">
        <is>
          <t>Bilal Wahid</t>
        </is>
      </c>
      <c r="B2" t="inlineStr">
        <is>
          <t>SCI-108</t>
        </is>
      </c>
      <c r="C2" t="inlineStr">
        <is>
          <t>Adil Wahid</t>
        </is>
      </c>
      <c r="D2" t="inlineStr">
        <is>
          <t>adil_s_w@yahoo.com</t>
        </is>
      </c>
      <c r="E2" t="inlineStr">
        <is>
          <t>07863171969</t>
        </is>
      </c>
      <c r="I2" t="inlineStr">
        <is>
          <t>NA</t>
        </is>
      </c>
      <c r="J2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2026-09-10T15:44:42Z</dcterms:created>
  <dcterms:modified xmlns:dcterms="http://purl.org/dc/terms/" xmlns:xsi="http://www.w3.org/2001/XMLSchema-instance" xsi:type="dcterms:W3CDTF">2026-10-24T15:31:21Z</dcterms:modified>
  <cp:lastModifiedBy>Mohammed Zayaan Sadiq</cp:lastModifiedBy>
</cp:coreProperties>
</file>